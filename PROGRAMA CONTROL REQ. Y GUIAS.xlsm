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"/>
    </mc:Choice>
  </mc:AlternateContent>
  <xr:revisionPtr revIDLastSave="0" documentId="13_ncr:1_{FC12E7BF-3D55-4B28-8BEB-CD65B9FA0A6F}" xr6:coauthVersionLast="45" xr6:coauthVersionMax="45" xr10:uidLastSave="{00000000-0000-0000-0000-000000000000}"/>
  <bookViews>
    <workbookView xWindow="-108" yWindow="-108" windowWidth="23256" windowHeight="12576" tabRatio="731" activeTab="2" xr2:uid="{C5EA7382-C10E-42F3-A411-6A6E01349ECA}"/>
  </bookViews>
  <sheets>
    <sheet name="REGISTRO REQUERIMIENTO" sheetId="1" r:id="rId1"/>
    <sheet name="REGISTRO GUIA" sheetId="4" r:id="rId2"/>
    <sheet name="MATERIALES EN BD" sheetId="2" r:id="rId3"/>
    <sheet name="EQUIPOS EN BD" sheetId="6" r:id="rId4"/>
    <sheet name="EPP EN BD" sheetId="7" r:id="rId5"/>
    <sheet name="UTILES EN BD" sheetId="8" r:id="rId6"/>
    <sheet name="OTROS EN BD" sheetId="9" r:id="rId7"/>
    <sheet name="HERRAMIENTAS EN BD" sheetId="10" r:id="rId8"/>
  </sheets>
  <definedNames>
    <definedName name="_xlnm._FilterDatabase" localSheetId="4" hidden="1">'REGISTRO REQUERIMIENTO'!$R$2:$R$19</definedName>
    <definedName name="_xlnm._FilterDatabase" localSheetId="3" hidden="1">'REGISTRO REQUERIMIENTO'!$R$2:$R$19</definedName>
    <definedName name="_xlnm._FilterDatabase" localSheetId="7" hidden="1">'REGISTRO REQUERIMIENTO'!$R$2:$R$19</definedName>
    <definedName name="_xlnm._FilterDatabase" localSheetId="2" hidden="1">'MATERIALES EN BD'!$A$7:$G$370</definedName>
    <definedName name="_xlnm._FilterDatabase" localSheetId="6" hidden="1">'REGISTRO REQUERIMIENTO'!$R$2:$R$19</definedName>
    <definedName name="_xlnm._FilterDatabase" localSheetId="1" hidden="1">'REGISTRO GUIA'!$F$26:$M$27</definedName>
    <definedName name="_xlnm._FilterDatabase" localSheetId="0" hidden="1">'REGISTRO REQUERIMIENTO'!$H$24:$P$25</definedName>
    <definedName name="_xlnm._FilterDatabase" localSheetId="5" hidden="1">'REGISTRO REQUERIMIENTO'!$R$2:$R$19</definedName>
    <definedName name="_xlnm.Print_Area" localSheetId="4">Tabla256[[#All],[CODIGO]:[DESCRIPCIÓN]]</definedName>
    <definedName name="_xlnm.Print_Area" localSheetId="3">Tabla25[[#All],[CODIGO]:[DESCRIPCIÓN]]</definedName>
    <definedName name="_xlnm.Print_Area" localSheetId="7">Tabla256724[[#All],[CODIGO]:[DESCRIPCIÓN]]</definedName>
    <definedName name="_xlnm.Print_Area" localSheetId="6">Tabla25672[[#All],[CODIGO]:[DESCRIPCIÓN]]</definedName>
    <definedName name="_xlnm.Print_Area" localSheetId="5">Tabla2567[[#All],[CODIGO]:[DESCRIPCIÓN]]</definedName>
    <definedName name="_xlnm.Criteria" localSheetId="2">'MATERIALES EN BD'!$B$4:$G$5</definedName>
    <definedName name="_xlnm.Criteria" localSheetId="1">'REGISTRO GUIA'!$G$21:$L$22</definedName>
    <definedName name="_xlnm.Criteria" localSheetId="0">'REGISTRO REQUERIMIENTO'!$I$20:$N$21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0" l="1"/>
  <c r="F7" i="10"/>
  <c r="F8" i="10"/>
  <c r="F9" i="10"/>
  <c r="F1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12" i="10"/>
  <c r="F10" i="10"/>
  <c r="F6" i="7"/>
  <c r="F7" i="7"/>
  <c r="F8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4" i="7"/>
  <c r="F45" i="7"/>
  <c r="F46" i="7"/>
  <c r="F47" i="7"/>
  <c r="F49" i="7"/>
  <c r="F50" i="7"/>
  <c r="F51" i="7"/>
  <c r="F52" i="7"/>
  <c r="F53" i="7"/>
  <c r="F54" i="7"/>
  <c r="F55" i="7"/>
  <c r="F43" i="7"/>
  <c r="F48" i="7"/>
  <c r="F9" i="7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01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210" i="2"/>
  <c r="A9" i="7" l="1"/>
  <c r="A48" i="7"/>
  <c r="A43" i="7"/>
  <c r="A10" i="10" l="1"/>
  <c r="A12" i="10"/>
  <c r="A210" i="2"/>
  <c r="A270" i="2" l="1"/>
  <c r="A102" i="2"/>
  <c r="A103" i="2"/>
  <c r="A111" i="2"/>
  <c r="A21" i="2"/>
  <c r="A197" i="2" l="1"/>
  <c r="A336" i="2"/>
  <c r="A271" i="2"/>
  <c r="A269" i="2"/>
  <c r="A282" i="2"/>
  <c r="A112" i="2"/>
  <c r="A97" i="2"/>
  <c r="A98" i="2"/>
  <c r="A107" i="2"/>
  <c r="A106" i="2"/>
  <c r="A238" i="2"/>
  <c r="A239" i="2"/>
  <c r="A240" i="2"/>
  <c r="A245" i="2"/>
  <c r="A242" i="2"/>
  <c r="A39" i="8"/>
  <c r="A51" i="9"/>
  <c r="A52" i="9"/>
  <c r="A54" i="9"/>
  <c r="A11" i="6" l="1"/>
  <c r="A50" i="8"/>
  <c r="A10" i="8"/>
  <c r="A32" i="8"/>
  <c r="A23" i="8"/>
  <c r="A20" i="9"/>
  <c r="A42" i="9"/>
  <c r="A166" i="2" l="1"/>
  <c r="A16" i="7"/>
  <c r="A9" i="9"/>
  <c r="A12" i="7"/>
  <c r="A62" i="9" l="1"/>
  <c r="A74" i="10"/>
  <c r="A49" i="10"/>
  <c r="A67" i="10"/>
  <c r="A57" i="10"/>
  <c r="A45" i="10"/>
  <c r="A44" i="10"/>
  <c r="A12" i="2"/>
  <c r="A14" i="2"/>
  <c r="A11" i="8"/>
  <c r="A22" i="8"/>
  <c r="A20" i="8"/>
  <c r="A18" i="9" l="1"/>
  <c r="A16" i="9"/>
  <c r="A19" i="9"/>
  <c r="A17" i="9"/>
  <c r="A45" i="7"/>
  <c r="A39" i="9"/>
  <c r="A15" i="8"/>
  <c r="A131" i="2"/>
  <c r="A132" i="2"/>
  <c r="A8" i="9"/>
  <c r="A161" i="2"/>
  <c r="A162" i="2"/>
  <c r="A160" i="2"/>
  <c r="A50" i="9" l="1"/>
  <c r="A53" i="9"/>
  <c r="A72" i="2"/>
  <c r="A165" i="2"/>
  <c r="A164" i="2"/>
  <c r="A163" i="2"/>
  <c r="A47" i="8" l="1"/>
  <c r="A78" i="8"/>
  <c r="A65" i="10"/>
  <c r="A32" i="10"/>
  <c r="A31" i="10"/>
  <c r="A30" i="10"/>
  <c r="A29" i="10"/>
  <c r="A68" i="10"/>
  <c r="A25" i="10"/>
  <c r="A14" i="9"/>
  <c r="A75" i="9"/>
  <c r="A71" i="9"/>
  <c r="A76" i="9"/>
  <c r="A56" i="9"/>
  <c r="A23" i="9"/>
  <c r="A38" i="9" l="1"/>
  <c r="A54" i="2"/>
  <c r="A45" i="8" l="1"/>
  <c r="A82" i="8"/>
  <c r="A83" i="8"/>
  <c r="A18" i="8"/>
  <c r="A16" i="8"/>
  <c r="A63" i="9"/>
  <c r="A55" i="8"/>
  <c r="A59" i="8" l="1"/>
  <c r="A260" i="2"/>
  <c r="F5" i="10"/>
  <c r="A8" i="2" l="1"/>
  <c r="A9" i="2"/>
  <c r="A10" i="2"/>
  <c r="A11" i="2"/>
  <c r="A13" i="2"/>
  <c r="A15" i="2"/>
  <c r="A16" i="2"/>
  <c r="A17" i="2"/>
  <c r="A18" i="2"/>
  <c r="A19" i="2"/>
  <c r="A20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3" i="2"/>
  <c r="A94" i="2"/>
  <c r="A91" i="2"/>
  <c r="A92" i="2"/>
  <c r="A95" i="2"/>
  <c r="A96" i="2"/>
  <c r="A99" i="2"/>
  <c r="A100" i="2"/>
  <c r="A104" i="2"/>
  <c r="A105" i="2"/>
  <c r="A108" i="2"/>
  <c r="A109" i="2"/>
  <c r="A110" i="2"/>
  <c r="A113" i="2"/>
  <c r="A114" i="2"/>
  <c r="A115" i="2"/>
  <c r="A116" i="2"/>
  <c r="A117" i="2"/>
  <c r="A101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262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41" i="2"/>
  <c r="A243" i="2"/>
  <c r="A244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1" i="2"/>
  <c r="A263" i="2"/>
  <c r="A264" i="2"/>
  <c r="A265" i="2"/>
  <c r="A266" i="2"/>
  <c r="A267" i="2"/>
  <c r="A268" i="2"/>
  <c r="A272" i="2"/>
  <c r="A273" i="2"/>
  <c r="A274" i="2"/>
  <c r="A275" i="2"/>
  <c r="A276" i="2"/>
  <c r="A277" i="2"/>
  <c r="A278" i="2"/>
  <c r="A279" i="2"/>
  <c r="A280" i="2"/>
  <c r="A281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4" i="2"/>
  <c r="A305" i="2"/>
  <c r="A306" i="2"/>
  <c r="A307" i="2"/>
  <c r="A308" i="2"/>
  <c r="A309" i="2"/>
  <c r="A310" i="2"/>
  <c r="A311" i="2"/>
  <c r="A312" i="2"/>
  <c r="A303" i="2"/>
  <c r="A313" i="2"/>
  <c r="A314" i="2"/>
  <c r="A315" i="2"/>
  <c r="A316" i="2"/>
  <c r="A317" i="2"/>
  <c r="A319" i="2"/>
  <c r="A320" i="2"/>
  <c r="A318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43" i="9" l="1"/>
  <c r="A66" i="10" l="1"/>
  <c r="A69" i="10"/>
  <c r="A70" i="10"/>
  <c r="A71" i="10"/>
  <c r="A72" i="10"/>
  <c r="A73" i="10"/>
  <c r="A76" i="10"/>
  <c r="A77" i="10"/>
  <c r="A75" i="10"/>
  <c r="A64" i="10"/>
  <c r="A63" i="10"/>
  <c r="A62" i="10"/>
  <c r="A61" i="10"/>
  <c r="A60" i="10"/>
  <c r="A59" i="10"/>
  <c r="A58" i="10"/>
  <c r="A56" i="10"/>
  <c r="A55" i="10"/>
  <c r="A54" i="10"/>
  <c r="A53" i="10"/>
  <c r="A52" i="10"/>
  <c r="A51" i="10"/>
  <c r="A50" i="10"/>
  <c r="A48" i="10"/>
  <c r="A47" i="10"/>
  <c r="A46" i="10"/>
  <c r="A43" i="10"/>
  <c r="A42" i="10"/>
  <c r="A41" i="10"/>
  <c r="A40" i="10"/>
  <c r="A39" i="10"/>
  <c r="A38" i="10"/>
  <c r="A37" i="10"/>
  <c r="A36" i="10"/>
  <c r="A35" i="10"/>
  <c r="A34" i="10"/>
  <c r="A33" i="10"/>
  <c r="A28" i="10"/>
  <c r="A27" i="10"/>
  <c r="A26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1" i="10"/>
  <c r="A9" i="10"/>
  <c r="A8" i="10"/>
  <c r="A7" i="10"/>
  <c r="A6" i="10"/>
  <c r="A5" i="10"/>
  <c r="A73" i="9"/>
  <c r="A74" i="9"/>
  <c r="A72" i="9" l="1"/>
  <c r="A70" i="9"/>
  <c r="A69" i="9"/>
  <c r="A68" i="9"/>
  <c r="A67" i="9"/>
  <c r="A65" i="9"/>
  <c r="A64" i="9"/>
  <c r="A61" i="9"/>
  <c r="A60" i="9"/>
  <c r="A59" i="9"/>
  <c r="A58" i="9"/>
  <c r="A57" i="9"/>
  <c r="A55" i="9"/>
  <c r="A66" i="9"/>
  <c r="A49" i="9"/>
  <c r="A37" i="9"/>
  <c r="A48" i="9"/>
  <c r="A47" i="9"/>
  <c r="A46" i="9"/>
  <c r="A45" i="9"/>
  <c r="A44" i="9"/>
  <c r="A41" i="9"/>
  <c r="A40" i="9"/>
  <c r="A36" i="9"/>
  <c r="A33" i="9"/>
  <c r="A35" i="9"/>
  <c r="A34" i="9"/>
  <c r="A32" i="9"/>
  <c r="A31" i="9"/>
  <c r="A30" i="9"/>
  <c r="A29" i="9"/>
  <c r="A28" i="9"/>
  <c r="A27" i="9"/>
  <c r="A26" i="9"/>
  <c r="A25" i="9"/>
  <c r="A24" i="9"/>
  <c r="A22" i="9"/>
  <c r="A21" i="9"/>
  <c r="A15" i="9"/>
  <c r="A13" i="9"/>
  <c r="A12" i="9"/>
  <c r="A11" i="9"/>
  <c r="A10" i="9"/>
  <c r="A7" i="9"/>
  <c r="A6" i="9"/>
  <c r="A5" i="9"/>
  <c r="F27" i="4" l="1"/>
  <c r="F5" i="6"/>
  <c r="F5" i="7" l="1"/>
  <c r="F8" i="2"/>
  <c r="H25" i="1" l="1"/>
  <c r="A5" i="8" l="1"/>
  <c r="A6" i="8"/>
  <c r="A37" i="8"/>
  <c r="A36" i="8"/>
  <c r="A35" i="8"/>
  <c r="A7" i="8"/>
  <c r="A9" i="8"/>
  <c r="A8" i="8"/>
  <c r="A12" i="8"/>
  <c r="A13" i="8"/>
  <c r="A14" i="8"/>
  <c r="A19" i="8"/>
  <c r="A21" i="8"/>
  <c r="A24" i="8"/>
  <c r="A25" i="8"/>
  <c r="A26" i="8"/>
  <c r="A27" i="8"/>
  <c r="A29" i="8"/>
  <c r="A28" i="8"/>
  <c r="A30" i="8"/>
  <c r="A31" i="8"/>
  <c r="A33" i="8"/>
  <c r="A34" i="8"/>
  <c r="A38" i="8"/>
  <c r="A40" i="8"/>
  <c r="A17" i="8"/>
  <c r="A46" i="8"/>
  <c r="A48" i="8"/>
  <c r="A49" i="8"/>
  <c r="A51" i="8"/>
  <c r="A52" i="8"/>
  <c r="A53" i="8"/>
  <c r="A54" i="8"/>
  <c r="A56" i="8"/>
  <c r="A57" i="8"/>
  <c r="A58" i="8"/>
  <c r="A60" i="8"/>
  <c r="A42" i="8"/>
  <c r="A61" i="8"/>
  <c r="A66" i="8"/>
  <c r="A70" i="8"/>
  <c r="A71" i="8"/>
  <c r="A72" i="8"/>
  <c r="A62" i="8"/>
  <c r="A63" i="8"/>
  <c r="A64" i="8"/>
  <c r="A65" i="8"/>
  <c r="A67" i="8"/>
  <c r="A68" i="8"/>
  <c r="A69" i="8"/>
  <c r="A73" i="8"/>
  <c r="A74" i="8"/>
  <c r="A75" i="8"/>
  <c r="A76" i="8"/>
  <c r="A77" i="8"/>
  <c r="A79" i="8"/>
  <c r="A85" i="8"/>
  <c r="A80" i="8"/>
  <c r="A81" i="8"/>
  <c r="A84" i="8"/>
  <c r="A86" i="8"/>
  <c r="A90" i="8"/>
  <c r="A88" i="8"/>
  <c r="A89" i="8"/>
  <c r="A87" i="8"/>
  <c r="A92" i="8"/>
  <c r="A91" i="8"/>
  <c r="A44" i="8"/>
  <c r="A43" i="8"/>
  <c r="A41" i="8"/>
  <c r="A5" i="7"/>
  <c r="A6" i="7"/>
  <c r="A7" i="7"/>
  <c r="A8" i="7"/>
  <c r="A10" i="7"/>
  <c r="A11" i="7"/>
  <c r="A13" i="7"/>
  <c r="A14" i="7"/>
  <c r="A15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4" i="7"/>
  <c r="A46" i="7"/>
  <c r="A47" i="7"/>
  <c r="A50" i="7"/>
  <c r="A49" i="7"/>
  <c r="A51" i="7"/>
  <c r="A52" i="7"/>
  <c r="A53" i="7"/>
  <c r="A54" i="7"/>
  <c r="A55" i="7"/>
  <c r="A5" i="6"/>
  <c r="A6" i="6"/>
  <c r="A7" i="6"/>
  <c r="A8" i="6"/>
  <c r="A9" i="6"/>
  <c r="A10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</calcChain>
</file>

<file path=xl/sharedStrings.xml><?xml version="1.0" encoding="utf-8"?>
<sst xmlns="http://schemas.openxmlformats.org/spreadsheetml/2006/main" count="1528" uniqueCount="1455">
  <si>
    <t>CODIGO</t>
  </si>
  <si>
    <t>CODIGO:</t>
  </si>
  <si>
    <t>UNIDAD:</t>
  </si>
  <si>
    <t>CANTIDAD:</t>
  </si>
  <si>
    <t>N°</t>
  </si>
  <si>
    <t>ALAMBRE NEGRO Nº 16</t>
  </si>
  <si>
    <t>ALAMBRE NEGRO Nº 8</t>
  </si>
  <si>
    <t>CLAVOS PARA CALAMINA</t>
  </si>
  <si>
    <t>ARENA FINA</t>
  </si>
  <si>
    <t>ARENA GRUESA</t>
  </si>
  <si>
    <t>ARENA (GRANULOMETRIA SELECTA)</t>
  </si>
  <si>
    <t>MATERIAL SELECTO P/CAMA DE APOYO</t>
  </si>
  <si>
    <t>PLANTONES DE LA ZONA</t>
  </si>
  <si>
    <t>PIEDRA MEDIANA</t>
  </si>
  <si>
    <t>ALAMBRE DE PUAS</t>
  </si>
  <si>
    <t>REJILLA METALICA 0.38X0.51M</t>
  </si>
  <si>
    <t>VERTEDERO METALICO</t>
  </si>
  <si>
    <t>BOMBA P/ PRUEBAS HIDRAULICAS</t>
  </si>
  <si>
    <t>REJILLA DE PROTECION</t>
  </si>
  <si>
    <t>REJILLA METALICA 0.20X0.10M</t>
  </si>
  <si>
    <t>CEMENTO PORTLAND TIPO I</t>
  </si>
  <si>
    <t>LADRILLO CONCRETO DE 0.15X0.2X0.3</t>
  </si>
  <si>
    <t>LAVADERO PRE FABRICADO DE GRANITO 80X50CM</t>
  </si>
  <si>
    <t>GUIA LENTA</t>
  </si>
  <si>
    <t>FULMINANTE</t>
  </si>
  <si>
    <t>DINAMITA</t>
  </si>
  <si>
    <t>SIKA</t>
  </si>
  <si>
    <t>DISEÑOS DE MEZCLAS</t>
  </si>
  <si>
    <t>SOLDADURA CELLOCORD A.P</t>
  </si>
  <si>
    <t>CAJA Co. REGISTRO DESAGUE STANDAR+MARCO Y TAPA</t>
  </si>
  <si>
    <t>CAJA Co. P/CONEXION DOMICILIARIA AGUA</t>
  </si>
  <si>
    <t>REGLA DE MADERA</t>
  </si>
  <si>
    <t>MADERA PARA ENCOFRADO</t>
  </si>
  <si>
    <t>MADERA TORNILLO O SIMILAR</t>
  </si>
  <si>
    <t>MADERA CORRIENTE</t>
  </si>
  <si>
    <t>MADERA TRATADA</t>
  </si>
  <si>
    <t>MADERA ESTRUCTURAL</t>
  </si>
  <si>
    <t>PINTURA ANTICORROSIVA</t>
  </si>
  <si>
    <t>PINTURA LATEX</t>
  </si>
  <si>
    <t>LIJA Nº 100</t>
  </si>
  <si>
    <t>RIEL T-1</t>
  </si>
  <si>
    <t>GRIFO DE BRONCE  1/2"</t>
  </si>
  <si>
    <t>PERNOS DE ANCLAJE 3/8"X0.30M</t>
  </si>
  <si>
    <t>PERNOS DE ANCLAJE 3/8"X0.20M</t>
  </si>
  <si>
    <t>GRAPAS DE ACERO GALVANIZADO</t>
  </si>
  <si>
    <t>SUMIDERO DE BRONCE DE 2"</t>
  </si>
  <si>
    <t>PLANCHA ACERO 3/16"</t>
  </si>
  <si>
    <t>CABLE DE ACERO TIPO BOA 3/8"</t>
  </si>
  <si>
    <t>MALLA MOSQUITERO METALICA 1/4"</t>
  </si>
  <si>
    <t>MANIJA DE BRONCE PARA PUERTA</t>
  </si>
  <si>
    <t>PICAPORTE</t>
  </si>
  <si>
    <t>CUMBRERA DE ACERO GALVANIZADO</t>
  </si>
  <si>
    <t>REJILLA METALICA PARA RETENCION DE SOLIDOS</t>
  </si>
  <si>
    <t>COMPUERTA TIPO II</t>
  </si>
  <si>
    <t>REJILLA METALICA PARA CAMARA DE REJAS</t>
  </si>
  <si>
    <t>TAPA METALICA Y ACC. 0.6X0.6X1/8"</t>
  </si>
  <si>
    <t>ADAPTADOR PVC 1/2"</t>
  </si>
  <si>
    <t>HIPOCLORITO</t>
  </si>
  <si>
    <t>CODO PVC SAP 3"</t>
  </si>
  <si>
    <t>IMPRIMANTE TEMPLE</t>
  </si>
  <si>
    <t>CANASTILLA DE BRONCE 8"</t>
  </si>
  <si>
    <t>ADAPTADOR PVC 8"</t>
  </si>
  <si>
    <t>YEE PVC SAL 8"</t>
  </si>
  <si>
    <t>HIPOCLORADOR</t>
  </si>
  <si>
    <t>TAPA METALICA Y ACC. 0.8X0.8X1/8"</t>
  </si>
  <si>
    <t>ADAPTADOR PVC 1 1/2"</t>
  </si>
  <si>
    <t>TAPA METALICA Y ACC. 0.4X0.4X1/8"</t>
  </si>
  <si>
    <t>TUBERIA PVC SAL 2" (3M)</t>
  </si>
  <si>
    <t>COLA SINTETICA</t>
  </si>
  <si>
    <t>TUBERIA PVC SAL 4" (3M)</t>
  </si>
  <si>
    <t>PASTILLAS PDP</t>
  </si>
  <si>
    <t>ADAPTADOR PVC 3/4"</t>
  </si>
  <si>
    <t>SOMBRERO DE VENTILACION PVC SAL 2"</t>
  </si>
  <si>
    <t>BIODIGESTOR 600 LTS (INCLUYE ACCESORIOS)</t>
  </si>
  <si>
    <t>BIODIGESTOR 1300 LTS (INCLUYE ACCESORIOS)</t>
  </si>
  <si>
    <t>TAPA METALICA Y ACC. 0.5X0.6X1/8"</t>
  </si>
  <si>
    <t>DUCHA INCLUYE ACCESORIOS</t>
  </si>
  <si>
    <t>ADAPTADOR PVC 1"</t>
  </si>
  <si>
    <t>VALVULA DE AIRE 2"</t>
  </si>
  <si>
    <t>IMPERMEABILIZANTE DE MADERA</t>
  </si>
  <si>
    <t>NIPLE PVC 1/2"</t>
  </si>
  <si>
    <t>CLORADOR</t>
  </si>
  <si>
    <t>VALVULA DE AIRE 1"</t>
  </si>
  <si>
    <t>VALVULA DE PURGA 1"</t>
  </si>
  <si>
    <t>VALVULA PURGA 11/2"</t>
  </si>
  <si>
    <t>NIPLE PVC 1"</t>
  </si>
  <si>
    <t>VALVULA AIRE 11/2"</t>
  </si>
  <si>
    <t>VALVULA DE PURGA 3/4"</t>
  </si>
  <si>
    <t>BRIDA ROMPE AGUA 6"</t>
  </si>
  <si>
    <t>TAPA METALICA Y ACC. 0.8X0.8X1/16"</t>
  </si>
  <si>
    <t>VALVULA DE AIRE 6"</t>
  </si>
  <si>
    <t>BIODIGESTOR 3000 LTS (INCLUYE ACCESORIOS)</t>
  </si>
  <si>
    <t>TAPA METALICA Y ACC. 1.00X1.00X1/8"</t>
  </si>
  <si>
    <t>SEÑALIZACION TEMPORAL</t>
  </si>
  <si>
    <t>CINTA TEFLON</t>
  </si>
  <si>
    <t>ADAPTADOR PVC 3"</t>
  </si>
  <si>
    <t>VALVULA BRONCE COMPUERTA 3"</t>
  </si>
  <si>
    <t>CANDADO</t>
  </si>
  <si>
    <t>TEE PVC SAP 3"</t>
  </si>
  <si>
    <t>CODO PVC SAP 3"x45°</t>
  </si>
  <si>
    <t>VALVULA BRONCE COMPUERTA 4"</t>
  </si>
  <si>
    <t>ADAPTADOR PVC 4"</t>
  </si>
  <si>
    <t>TEE PVC SAP 4"</t>
  </si>
  <si>
    <t>CODO PVC SAP 4"</t>
  </si>
  <si>
    <t>UNION PVC SAP 2"</t>
  </si>
  <si>
    <t>CODO PVC SAP 2"</t>
  </si>
  <si>
    <t>TEE PVC SAP 2"</t>
  </si>
  <si>
    <t>VALVULA BRONCE COMPUERTA 2"</t>
  </si>
  <si>
    <t>VALVULA BRONCE COMPUERTA 1 1/2"</t>
  </si>
  <si>
    <t>ADAPTADOR PVC SAP 1"</t>
  </si>
  <si>
    <t>VALVULA BRONCE COMPUERTA 1"</t>
  </si>
  <si>
    <t>CODO PVC SAP 1/2"</t>
  </si>
  <si>
    <t>TEE PVC SAP 1/2"</t>
  </si>
  <si>
    <t>ADAPTADOR PVC 2"</t>
  </si>
  <si>
    <t>TAPON PVC SAP 2"</t>
  </si>
  <si>
    <t>TEE PVC SAP 1.5"</t>
  </si>
  <si>
    <t>TEE PVC SAP 1"</t>
  </si>
  <si>
    <t>TEE PVC SAP 3/4"</t>
  </si>
  <si>
    <t>CODO PVC SAP 1.5"</t>
  </si>
  <si>
    <t>CODO PVC SAP 1"</t>
  </si>
  <si>
    <t>CODO PVC SAP 3/4"</t>
  </si>
  <si>
    <t>BALDE DE 15L</t>
  </si>
  <si>
    <t>TEE PVC SAL 4"X2"</t>
  </si>
  <si>
    <t>TRAMPA S PVC SAL 2"</t>
  </si>
  <si>
    <t>COMPARADOR DE CLORO RESIDUAL</t>
  </si>
  <si>
    <t>UNION PVC SAP 4"</t>
  </si>
  <si>
    <t>UNION PVC SAP 3"</t>
  </si>
  <si>
    <t>ADAPTADOR PVC 6"</t>
  </si>
  <si>
    <t>VALVULA BRONCE COMPUERTA 6"</t>
  </si>
  <si>
    <t>VALVULA COMPUERTA MAZZA DE HD 6"</t>
  </si>
  <si>
    <t>UNION AUTOPORTANTE DN 200 mm</t>
  </si>
  <si>
    <t>UNION PVC SAP 6"</t>
  </si>
  <si>
    <t>CODO PVC SAP 6"</t>
  </si>
  <si>
    <t>ENSAYO A LA COMPRESION DEL CONCRETO</t>
  </si>
  <si>
    <t>WATER STOP NEOPRENO 6"</t>
  </si>
  <si>
    <t>COMPUERTA TIPO I</t>
  </si>
  <si>
    <t>TUBERIA PVC DE 800mm</t>
  </si>
  <si>
    <t>TEE PVC DESAGUE UF Ø=200MM</t>
  </si>
  <si>
    <t>LUBRICANTE PARA TUBERIA PVC U.F.</t>
  </si>
  <si>
    <t>MATERIALES GENERAL - BASE DE DATOS</t>
  </si>
  <si>
    <t>UNIDAD</t>
  </si>
  <si>
    <t>CONSORCIO:</t>
  </si>
  <si>
    <t>FECHA</t>
  </si>
  <si>
    <r>
      <t xml:space="preserve">FECHA: </t>
    </r>
    <r>
      <rPr>
        <b/>
        <sz val="9"/>
        <rFont val="Calibri"/>
        <family val="2"/>
        <scheme val="minor"/>
      </rPr>
      <t>(dd/mm/aaaa)</t>
    </r>
  </si>
  <si>
    <t>CANTIDAD REQUERIDA</t>
  </si>
  <si>
    <t>CANTIDAD FALTANTE</t>
  </si>
  <si>
    <t>CANTIDAD ENTRANTE</t>
  </si>
  <si>
    <t>MARCO Y TAPA TERMOPLÁSTICA PARA AGUA</t>
  </si>
  <si>
    <t>PINTURA ESMALTE SINTÉTICO</t>
  </si>
  <si>
    <t>LIJA PARA MADERA</t>
  </si>
  <si>
    <t>PEGAMENTO PLÁSTICO PVC</t>
  </si>
  <si>
    <t>HIPOCLORITO DE CALCIO AL 33%</t>
  </si>
  <si>
    <t>FIERRO CORRUGADO 1/2"</t>
  </si>
  <si>
    <t>FIERRO CORRUGADO 3/8"</t>
  </si>
  <si>
    <t>FIERRO CORRUGADO 5/8"</t>
  </si>
  <si>
    <t>ENCHUFES</t>
  </si>
  <si>
    <t>TOMACORRIENTE</t>
  </si>
  <si>
    <t>BOMBA DE COMBUSTIBLE</t>
  </si>
  <si>
    <t>THINER</t>
  </si>
  <si>
    <t>EXTENSION DE 30M + ENCHUFE DE MOTOR</t>
  </si>
  <si>
    <t>LIMAS REDONDAS</t>
  </si>
  <si>
    <t>ACEITE 2 TIEMPOS</t>
  </si>
  <si>
    <t>TEE PVC SAP 1/2" (REPARACION)</t>
  </si>
  <si>
    <t>OCRE ROJO</t>
  </si>
  <si>
    <t>SOGA DRIZA 3/8"</t>
  </si>
  <si>
    <t>SOGA DRIZA 5/8"</t>
  </si>
  <si>
    <t>ESCUADRA METALICA</t>
  </si>
  <si>
    <t>VALVULA ESFÉRICA 1/2"</t>
  </si>
  <si>
    <t>CANDADO DORADO 50MM</t>
  </si>
  <si>
    <t>MOSQUITERO 2 PLAZAS</t>
  </si>
  <si>
    <t>COLCHON TAPIZADO POR 1.5 PLAZA</t>
  </si>
  <si>
    <t>MANTA PARA CAMA</t>
  </si>
  <si>
    <t>CLAVOS DE 2 1/2"</t>
  </si>
  <si>
    <t>CLAVOS DE 2"</t>
  </si>
  <si>
    <t>CLAVOS DE 3"</t>
  </si>
  <si>
    <t>UNIDAD DE MEDIDA</t>
  </si>
  <si>
    <t>M2</t>
  </si>
  <si>
    <t>M3</t>
  </si>
  <si>
    <t>BOLSA (BLS)</t>
  </si>
  <si>
    <t>CAJA (CAJ)</t>
  </si>
  <si>
    <t>GALÓN (GAL)</t>
  </si>
  <si>
    <t>GLOBAL (GL)</t>
  </si>
  <si>
    <t>JUEGO</t>
  </si>
  <si>
    <t>KILOGRAMO (KG)</t>
  </si>
  <si>
    <t>PLANCHA</t>
  </si>
  <si>
    <t>PIE CUADRADO (P2)</t>
  </si>
  <si>
    <t>PIEZA (PZA)</t>
  </si>
  <si>
    <t>ROLLO (ROL)</t>
  </si>
  <si>
    <t>UNIDAD (UND)</t>
  </si>
  <si>
    <t>METRO LINEAL (ML)</t>
  </si>
  <si>
    <t>N°:</t>
  </si>
  <si>
    <t>FILTRO DE BUSQUEDA</t>
  </si>
  <si>
    <t>MOVIMIENTOS CON GUÍA</t>
  </si>
  <si>
    <t>FILTRO DE BÚSQUEDA</t>
  </si>
  <si>
    <t>TIPO DOC:</t>
  </si>
  <si>
    <t>TIPO DOC</t>
  </si>
  <si>
    <t>REGISTRAR GUIA (G)  - NOTA DE ENTRADA (N)</t>
  </si>
  <si>
    <t>OBSERVACIONES</t>
  </si>
  <si>
    <t>N° SERIE</t>
  </si>
  <si>
    <t>-</t>
  </si>
  <si>
    <t>N° REQUERIMIENTO</t>
  </si>
  <si>
    <t>N° REQUER</t>
  </si>
  <si>
    <t>CANTIDAD ABASTECIDA</t>
  </si>
  <si>
    <t>FALTANTE</t>
  </si>
  <si>
    <t>BUSCAR EN BD</t>
  </si>
  <si>
    <t>REGISTRAR REQUERIMIENTO</t>
  </si>
  <si>
    <t>EQUIPO GENERAL - BASE DE DATOS</t>
  </si>
  <si>
    <t>E0001</t>
  </si>
  <si>
    <t>E0002</t>
  </si>
  <si>
    <t>E0003</t>
  </si>
  <si>
    <t>E0004</t>
  </si>
  <si>
    <t>E0005</t>
  </si>
  <si>
    <t>E0006</t>
  </si>
  <si>
    <t>E0007</t>
  </si>
  <si>
    <t>E0008</t>
  </si>
  <si>
    <t>E0009</t>
  </si>
  <si>
    <t>E0010</t>
  </si>
  <si>
    <t>E0011</t>
  </si>
  <si>
    <t>E0012</t>
  </si>
  <si>
    <t>E0013</t>
  </si>
  <si>
    <t>E0014</t>
  </si>
  <si>
    <t>E0015</t>
  </si>
  <si>
    <t>E0016</t>
  </si>
  <si>
    <t>E0017</t>
  </si>
  <si>
    <t>E0018</t>
  </si>
  <si>
    <t>E0019</t>
  </si>
  <si>
    <t>E0020</t>
  </si>
  <si>
    <t>E0021</t>
  </si>
  <si>
    <t>E0022</t>
  </si>
  <si>
    <t>E0023</t>
  </si>
  <si>
    <t>E0024</t>
  </si>
  <si>
    <t>E0025</t>
  </si>
  <si>
    <t>E0026</t>
  </si>
  <si>
    <t>E0027</t>
  </si>
  <si>
    <t>E0028</t>
  </si>
  <si>
    <t>E0029</t>
  </si>
  <si>
    <t>E0030</t>
  </si>
  <si>
    <t>E0031</t>
  </si>
  <si>
    <t>E0032</t>
  </si>
  <si>
    <t>NIVEL TOPOGRAFICO</t>
  </si>
  <si>
    <t>E0033</t>
  </si>
  <si>
    <t>E0034</t>
  </si>
  <si>
    <t>E0035</t>
  </si>
  <si>
    <t>E0036</t>
  </si>
  <si>
    <t>E0037</t>
  </si>
  <si>
    <t>E0038</t>
  </si>
  <si>
    <t>E0039</t>
  </si>
  <si>
    <t>E0040</t>
  </si>
  <si>
    <t>E0041</t>
  </si>
  <si>
    <t>MOCHILA FUMIGADORA</t>
  </si>
  <si>
    <t>E0042</t>
  </si>
  <si>
    <t>E0043</t>
  </si>
  <si>
    <t>E0044</t>
  </si>
  <si>
    <t>E0045</t>
  </si>
  <si>
    <t>E0046</t>
  </si>
  <si>
    <t>E0047</t>
  </si>
  <si>
    <t>ESMERILADORA/AMOLADORA</t>
  </si>
  <si>
    <t>MANOMETRO DE GLICERINA DE 0-300PSI</t>
  </si>
  <si>
    <t xml:space="preserve">MARTILLO ELECTRICO DE DEMOLICION </t>
  </si>
  <si>
    <t>PROYECTOR MULTIMEDIA</t>
  </si>
  <si>
    <t>TIMBOS DE 250 GALONES</t>
  </si>
  <si>
    <t>CILINDROS DE 60 GALONES</t>
  </si>
  <si>
    <t xml:space="preserve">ESTACION TOTAL </t>
  </si>
  <si>
    <t xml:space="preserve">TRIPODE DE MADERA </t>
  </si>
  <si>
    <t>BASTON TELESCOPICO</t>
  </si>
  <si>
    <t>SILLON GIRATORIO, RESPALDAR Y ASIENTO MALLA DE CINCO ASPAS</t>
  </si>
  <si>
    <t>TRIMOTO DE CARGA</t>
  </si>
  <si>
    <t>TRIPODE DE ALUMINIO</t>
  </si>
  <si>
    <t xml:space="preserve">MEZCLADOR DE CONCRETO </t>
  </si>
  <si>
    <t>MOTOR DE TROMPO</t>
  </si>
  <si>
    <t>PAR</t>
  </si>
  <si>
    <t xml:space="preserve">ALCOHOL DE 70° </t>
  </si>
  <si>
    <t>ALCOHOL DE 96°</t>
  </si>
  <si>
    <t xml:space="preserve">ALCOHOL EN GEL </t>
  </si>
  <si>
    <t xml:space="preserve">ARNES + LINEA DE VIDA </t>
  </si>
  <si>
    <t>BARBIQUEJO</t>
  </si>
  <si>
    <t>BOTAS DE JEBE</t>
  </si>
  <si>
    <t>BOTIQUIN</t>
  </si>
  <si>
    <t xml:space="preserve">CAMILLA FIBRA DE VIDRIO </t>
  </si>
  <si>
    <t>CAPOTINES</t>
  </si>
  <si>
    <t>CASCO DE SEGURIDAD COLOR AMARILLO</t>
  </si>
  <si>
    <t>CASCO DE SEGURIDAD COLOR ANARANJADO</t>
  </si>
  <si>
    <t>CASCO DE SEGURIDAD COLOR AZUL</t>
  </si>
  <si>
    <t>CASCO DE SEGURIDAD COLOR BLANCO - 3M</t>
  </si>
  <si>
    <t>CASCO DE SEGURIDAD COLOR ROJO</t>
  </si>
  <si>
    <t xml:space="preserve">CHALECO ANARANJADO </t>
  </si>
  <si>
    <t>CHALECO DRILL CON CINTA REFLECTIVA COLOR BEISH</t>
  </si>
  <si>
    <t xml:space="preserve">CHALECO DRILL CON CINTA REFLECTIVA COLOR VERDE </t>
  </si>
  <si>
    <t>CINTAS DE SEGURIDAD AMARILLO</t>
  </si>
  <si>
    <t>CINTAS DE SEGURIDAD ROJO</t>
  </si>
  <si>
    <t>CORTAVIENTO ANARANJADO</t>
  </si>
  <si>
    <t>CORTAVIENTO GRIS</t>
  </si>
  <si>
    <t>EXTINTOR DE PQS 6 KG</t>
  </si>
  <si>
    <t>GUANTES DE JEBE</t>
  </si>
  <si>
    <t>GUANTES MULTIFLEX - NITRILO</t>
  </si>
  <si>
    <t xml:space="preserve">JABON LIQUIDO </t>
  </si>
  <si>
    <t>LAVADEROS DE MANO A PEDESTAL</t>
  </si>
  <si>
    <t>MALLA DE SEGURIDAD ANARANJADO</t>
  </si>
  <si>
    <t xml:space="preserve">MASCARILLA AS CONTRA POLVO </t>
  </si>
  <si>
    <t xml:space="preserve">OXÍMETRO </t>
  </si>
  <si>
    <t>PAPEL TOALLA</t>
  </si>
  <si>
    <t xml:space="preserve">POLO MANGALARGA CON CINTA REFLECTIVA COLOR ANARANJADO </t>
  </si>
  <si>
    <t xml:space="preserve">PROTECTOR FACIAL - CARETA </t>
  </si>
  <si>
    <t>TAPONES AUDITIVOS</t>
  </si>
  <si>
    <t xml:space="preserve">TERMOMETRO </t>
  </si>
  <si>
    <t xml:space="preserve">TRAJES DE PROTECCION </t>
  </si>
  <si>
    <t xml:space="preserve">ZAPATOS DE SEGURIDAD PUNTA DE ACERO </t>
  </si>
  <si>
    <t>EPP GENERAL - BASE DE DATOS</t>
  </si>
  <si>
    <t>EP0001</t>
  </si>
  <si>
    <t>EP0002</t>
  </si>
  <si>
    <t>EP0003</t>
  </si>
  <si>
    <t>EP0004</t>
  </si>
  <si>
    <t>EP0005</t>
  </si>
  <si>
    <t>EP0006</t>
  </si>
  <si>
    <t>EP0007</t>
  </si>
  <si>
    <t>EP0008</t>
  </si>
  <si>
    <t>EP0009</t>
  </si>
  <si>
    <t>EP0010</t>
  </si>
  <si>
    <t>EP0011</t>
  </si>
  <si>
    <t>EP0012</t>
  </si>
  <si>
    <t>EP0013</t>
  </si>
  <si>
    <t>EP0014</t>
  </si>
  <si>
    <t>EP0015</t>
  </si>
  <si>
    <t>EP0016</t>
  </si>
  <si>
    <t>EP0017</t>
  </si>
  <si>
    <t>EP0018</t>
  </si>
  <si>
    <t>EP0019</t>
  </si>
  <si>
    <t>EP0020</t>
  </si>
  <si>
    <t>EP0021</t>
  </si>
  <si>
    <t>EP0022</t>
  </si>
  <si>
    <t>EP0023</t>
  </si>
  <si>
    <t>EP0024</t>
  </si>
  <si>
    <t>EP0025</t>
  </si>
  <si>
    <t>EP0026</t>
  </si>
  <si>
    <t>EP0027</t>
  </si>
  <si>
    <t>EP0028</t>
  </si>
  <si>
    <t>EP0029</t>
  </si>
  <si>
    <t>EP0030</t>
  </si>
  <si>
    <t>EP0031</t>
  </si>
  <si>
    <t>EP0032</t>
  </si>
  <si>
    <t>EP0033</t>
  </si>
  <si>
    <t>EP0034</t>
  </si>
  <si>
    <t>EP0035</t>
  </si>
  <si>
    <t>EP0036</t>
  </si>
  <si>
    <t>EP0037</t>
  </si>
  <si>
    <t>EP0038</t>
  </si>
  <si>
    <t>EP0039</t>
  </si>
  <si>
    <t>EP0040</t>
  </si>
  <si>
    <t>EP0041</t>
  </si>
  <si>
    <t>EP0042</t>
  </si>
  <si>
    <t>EP0043</t>
  </si>
  <si>
    <t>EP0044</t>
  </si>
  <si>
    <t>EP0045</t>
  </si>
  <si>
    <t>M0001</t>
  </si>
  <si>
    <t>M0002</t>
  </si>
  <si>
    <t>M0003</t>
  </si>
  <si>
    <t>M0004</t>
  </si>
  <si>
    <t>M0005</t>
  </si>
  <si>
    <t>M0006</t>
  </si>
  <si>
    <t>M0007</t>
  </si>
  <si>
    <t>M0008</t>
  </si>
  <si>
    <t>M0009</t>
  </si>
  <si>
    <t>M0010</t>
  </si>
  <si>
    <t>M0011</t>
  </si>
  <si>
    <t>M0012</t>
  </si>
  <si>
    <t>M0013</t>
  </si>
  <si>
    <t>M0014</t>
  </si>
  <si>
    <t>M0015</t>
  </si>
  <si>
    <t>M0016</t>
  </si>
  <si>
    <t>M0017</t>
  </si>
  <si>
    <t>M0018</t>
  </si>
  <si>
    <t>M0019</t>
  </si>
  <si>
    <t>M0021</t>
  </si>
  <si>
    <t>M0022</t>
  </si>
  <si>
    <t>M0023</t>
  </si>
  <si>
    <t>M0024</t>
  </si>
  <si>
    <t>M0025</t>
  </si>
  <si>
    <t>M0026</t>
  </si>
  <si>
    <t>M0027</t>
  </si>
  <si>
    <t>M0028</t>
  </si>
  <si>
    <t>M0029</t>
  </si>
  <si>
    <t>M0030</t>
  </si>
  <si>
    <t>M0031</t>
  </si>
  <si>
    <t>M0032</t>
  </si>
  <si>
    <t>M0033</t>
  </si>
  <si>
    <t>M0034</t>
  </si>
  <si>
    <t>M0035</t>
  </si>
  <si>
    <t>M0036</t>
  </si>
  <si>
    <t>M0037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</si>
  <si>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</si>
  <si>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</si>
  <si>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</si>
  <si>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</si>
  <si>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</si>
  <si>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</si>
  <si>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</si>
  <si>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</si>
  <si>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</si>
  <si>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</si>
  <si>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</si>
  <si>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</si>
  <si>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</si>
  <si>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</si>
  <si>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</si>
  <si>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</si>
  <si>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</si>
  <si>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</si>
  <si>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</si>
  <si>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</si>
  <si>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</si>
  <si>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</si>
  <si>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</si>
  <si>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</si>
  <si>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</si>
  <si>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</si>
  <si>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</si>
  <si>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</si>
  <si>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</si>
  <si>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</si>
  <si>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</si>
  <si>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</si>
  <si>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</si>
  <si>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</si>
  <si>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</si>
  <si>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</si>
  <si>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</si>
  <si>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</si>
  <si>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</si>
  <si>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</si>
  <si>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</si>
  <si>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</si>
  <si>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</si>
  <si>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</si>
  <si>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</si>
  <si>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M0083</t>
  </si>
  <si>
    <t>M0084</t>
  </si>
  <si>
    <t>M0085</t>
  </si>
  <si>
    <t>M0086</t>
  </si>
  <si>
    <t>M0087</t>
  </si>
  <si>
    <t>M0088</t>
  </si>
  <si>
    <t>M0089</t>
  </si>
  <si>
    <t>M0090</t>
  </si>
  <si>
    <t>M0091</t>
  </si>
  <si>
    <t>M0092</t>
  </si>
  <si>
    <t>M0093</t>
  </si>
  <si>
    <t>M0094</t>
  </si>
  <si>
    <t>M0095</t>
  </si>
  <si>
    <t>M0096</t>
  </si>
  <si>
    <t>M0097</t>
  </si>
  <si>
    <t>M0098</t>
  </si>
  <si>
    <t>M0099</t>
  </si>
  <si>
    <t>M0100</t>
  </si>
  <si>
    <t>M0101</t>
  </si>
  <si>
    <t>M0102</t>
  </si>
  <si>
    <t>M0103</t>
  </si>
  <si>
    <t>M0104</t>
  </si>
  <si>
    <t>M0105</t>
  </si>
  <si>
    <t>M0106</t>
  </si>
  <si>
    <t>M0107</t>
  </si>
  <si>
    <t>M0108</t>
  </si>
  <si>
    <t>M0109</t>
  </si>
  <si>
    <t>M0110</t>
  </si>
  <si>
    <t>M0111</t>
  </si>
  <si>
    <t>M0112</t>
  </si>
  <si>
    <t>M0113</t>
  </si>
  <si>
    <t>M0114</t>
  </si>
  <si>
    <t>M0115</t>
  </si>
  <si>
    <t>M0116</t>
  </si>
  <si>
    <t>M0117</t>
  </si>
  <si>
    <t>M0118</t>
  </si>
  <si>
    <t>M0119</t>
  </si>
  <si>
    <t>M0120</t>
  </si>
  <si>
    <t>M0121</t>
  </si>
  <si>
    <t>M0122</t>
  </si>
  <si>
    <t>M0123</t>
  </si>
  <si>
    <t>M0124</t>
  </si>
  <si>
    <t>M0125</t>
  </si>
  <si>
    <t>M0126</t>
  </si>
  <si>
    <t>M0127</t>
  </si>
  <si>
    <t>M0128</t>
  </si>
  <si>
    <t>M0129</t>
  </si>
  <si>
    <t>M0130</t>
  </si>
  <si>
    <t>M0131</t>
  </si>
  <si>
    <t>M0132</t>
  </si>
  <si>
    <t>M0133</t>
  </si>
  <si>
    <t>M0134</t>
  </si>
  <si>
    <t>M0135</t>
  </si>
  <si>
    <t>M0136</t>
  </si>
  <si>
    <t>M0137</t>
  </si>
  <si>
    <t>M0138</t>
  </si>
  <si>
    <t>M0139</t>
  </si>
  <si>
    <t>M0140</t>
  </si>
  <si>
    <t>M0141</t>
  </si>
  <si>
    <t>M0142</t>
  </si>
  <si>
    <t>M0143</t>
  </si>
  <si>
    <t>M0144</t>
  </si>
  <si>
    <t>M0145</t>
  </si>
  <si>
    <t>M0146</t>
  </si>
  <si>
    <t>M0147</t>
  </si>
  <si>
    <t>M0148</t>
  </si>
  <si>
    <t>M0149</t>
  </si>
  <si>
    <t>M0150</t>
  </si>
  <si>
    <t>M0151</t>
  </si>
  <si>
    <t>M0152</t>
  </si>
  <si>
    <t>M0153</t>
  </si>
  <si>
    <t>M0154</t>
  </si>
  <si>
    <t>M0155</t>
  </si>
  <si>
    <t>M0156</t>
  </si>
  <si>
    <t>M0157</t>
  </si>
  <si>
    <t>M0158</t>
  </si>
  <si>
    <t>M0159</t>
  </si>
  <si>
    <t>M0160</t>
  </si>
  <si>
    <t>M0161</t>
  </si>
  <si>
    <t>M0162</t>
  </si>
  <si>
    <t>M0163</t>
  </si>
  <si>
    <t>M0164</t>
  </si>
  <si>
    <t>M0165</t>
  </si>
  <si>
    <t>M0166</t>
  </si>
  <si>
    <t>M0167</t>
  </si>
  <si>
    <t>M0168</t>
  </si>
  <si>
    <t>M0169</t>
  </si>
  <si>
    <t>M0170</t>
  </si>
  <si>
    <t>M0171</t>
  </si>
  <si>
    <t>M0172</t>
  </si>
  <si>
    <t>M0173</t>
  </si>
  <si>
    <t>M0174</t>
  </si>
  <si>
    <t>M0175</t>
  </si>
  <si>
    <t>M0176</t>
  </si>
  <si>
    <t>M0177</t>
  </si>
  <si>
    <t>M0178</t>
  </si>
  <si>
    <t>M0179</t>
  </si>
  <si>
    <t>M0180</t>
  </si>
  <si>
    <t>M0181</t>
  </si>
  <si>
    <t>M0182</t>
  </si>
  <si>
    <t>M0183</t>
  </si>
  <si>
    <t>M0184</t>
  </si>
  <si>
    <t>M0185</t>
  </si>
  <si>
    <t>M0186</t>
  </si>
  <si>
    <t>M0187</t>
  </si>
  <si>
    <t>M0188</t>
  </si>
  <si>
    <t>M0189</t>
  </si>
  <si>
    <t>M0190</t>
  </si>
  <si>
    <t>M0191</t>
  </si>
  <si>
    <t>M0192</t>
  </si>
  <si>
    <t>M0193</t>
  </si>
  <si>
    <t>M0194</t>
  </si>
  <si>
    <t>M0195</t>
  </si>
  <si>
    <t>M0196</t>
  </si>
  <si>
    <t>M0197</t>
  </si>
  <si>
    <t>M0198</t>
  </si>
  <si>
    <t>M0199</t>
  </si>
  <si>
    <t>M0200</t>
  </si>
  <si>
    <t>M0201</t>
  </si>
  <si>
    <t>M0202</t>
  </si>
  <si>
    <t>M0203</t>
  </si>
  <si>
    <t>M0204</t>
  </si>
  <si>
    <t>M0205</t>
  </si>
  <si>
    <t>M0206</t>
  </si>
  <si>
    <t>M0207</t>
  </si>
  <si>
    <t>M0208</t>
  </si>
  <si>
    <t>M0209</t>
  </si>
  <si>
    <t>M0210</t>
  </si>
  <si>
    <t>M0211</t>
  </si>
  <si>
    <t>M0212</t>
  </si>
  <si>
    <t>M0213</t>
  </si>
  <si>
    <t>M0214</t>
  </si>
  <si>
    <t>M0215</t>
  </si>
  <si>
    <t>M0216</t>
  </si>
  <si>
    <t>M0217</t>
  </si>
  <si>
    <t>M0218</t>
  </si>
  <si>
    <t>M0219</t>
  </si>
  <si>
    <t>M0220</t>
  </si>
  <si>
    <t>M0221</t>
  </si>
  <si>
    <t>M0222</t>
  </si>
  <si>
    <t>M0223</t>
  </si>
  <si>
    <t>M0224</t>
  </si>
  <si>
    <t>M0225</t>
  </si>
  <si>
    <t>M0226</t>
  </si>
  <si>
    <t>M0227</t>
  </si>
  <si>
    <t>M0228</t>
  </si>
  <si>
    <t>M0229</t>
  </si>
  <si>
    <t>M0230</t>
  </si>
  <si>
    <t>M0231</t>
  </si>
  <si>
    <t>M0232</t>
  </si>
  <si>
    <t>M0233</t>
  </si>
  <si>
    <t>M0234</t>
  </si>
  <si>
    <t>M0235</t>
  </si>
  <si>
    <t>M0236</t>
  </si>
  <si>
    <t>M0237</t>
  </si>
  <si>
    <t>M0238</t>
  </si>
  <si>
    <t>M0239</t>
  </si>
  <si>
    <t>M0240</t>
  </si>
  <si>
    <t>M0241</t>
  </si>
  <si>
    <t>M0242</t>
  </si>
  <si>
    <t>M0243</t>
  </si>
  <si>
    <t>M0244</t>
  </si>
  <si>
    <t>M0245</t>
  </si>
  <si>
    <t>M0246</t>
  </si>
  <si>
    <t>M0247</t>
  </si>
  <si>
    <t>M0249</t>
  </si>
  <si>
    <t>M0250</t>
  </si>
  <si>
    <t>M0251</t>
  </si>
  <si>
    <t>M0252</t>
  </si>
  <si>
    <t>M0253</t>
  </si>
  <si>
    <t>M0254</t>
  </si>
  <si>
    <t>M0255</t>
  </si>
  <si>
    <t>M0256</t>
  </si>
  <si>
    <t>M0257</t>
  </si>
  <si>
    <t>M0258</t>
  </si>
  <si>
    <t>M0259</t>
  </si>
  <si>
    <t>M0260</t>
  </si>
  <si>
    <t>M0261</t>
  </si>
  <si>
    <t>M0262</t>
  </si>
  <si>
    <t>M0263</t>
  </si>
  <si>
    <t>M0264</t>
  </si>
  <si>
    <t>M0265</t>
  </si>
  <si>
    <t>M0266</t>
  </si>
  <si>
    <t>M0267</t>
  </si>
  <si>
    <t>M0268</t>
  </si>
  <si>
    <t>M0269</t>
  </si>
  <si>
    <t>M0270</t>
  </si>
  <si>
    <t>M0271</t>
  </si>
  <si>
    <t>M0272</t>
  </si>
  <si>
    <t>M0273</t>
  </si>
  <si>
    <t>M0274</t>
  </si>
  <si>
    <t>M0275</t>
  </si>
  <si>
    <t>M0276</t>
  </si>
  <si>
    <t>M0277</t>
  </si>
  <si>
    <t>M0278</t>
  </si>
  <si>
    <t>M0279</t>
  </si>
  <si>
    <t>M0280</t>
  </si>
  <si>
    <t>M0281</t>
  </si>
  <si>
    <t>M0282</t>
  </si>
  <si>
    <t>M0283</t>
  </si>
  <si>
    <t>M0284</t>
  </si>
  <si>
    <t>M0285</t>
  </si>
  <si>
    <t>M0286</t>
  </si>
  <si>
    <t>M0287</t>
  </si>
  <si>
    <t>M0288</t>
  </si>
  <si>
    <t>M0289</t>
  </si>
  <si>
    <t>M0290</t>
  </si>
  <si>
    <t>M0291</t>
  </si>
  <si>
    <t>M0292</t>
  </si>
  <si>
    <t>M0293</t>
  </si>
  <si>
    <t>M0294</t>
  </si>
  <si>
    <t>M0295</t>
  </si>
  <si>
    <t>M0296</t>
  </si>
  <si>
    <t>M0297</t>
  </si>
  <si>
    <t>M0298</t>
  </si>
  <si>
    <t>M0299</t>
  </si>
  <si>
    <t>M0300</t>
  </si>
  <si>
    <t>M0301</t>
  </si>
  <si>
    <t>M0302</t>
  </si>
  <si>
    <t>M0303</t>
  </si>
  <si>
    <t>M0304</t>
  </si>
  <si>
    <t>M0305</t>
  </si>
  <si>
    <t>M0306</t>
  </si>
  <si>
    <t>M0307</t>
  </si>
  <si>
    <t>M0308</t>
  </si>
  <si>
    <t>M0309</t>
  </si>
  <si>
    <t>M0310</t>
  </si>
  <si>
    <t>M0311</t>
  </si>
  <si>
    <t>M0312</t>
  </si>
  <si>
    <t>M0313</t>
  </si>
  <si>
    <t>M0314</t>
  </si>
  <si>
    <t>M0315</t>
  </si>
  <si>
    <t>M0316</t>
  </si>
  <si>
    <t>M0317</t>
  </si>
  <si>
    <t>M0318</t>
  </si>
  <si>
    <t>M0319</t>
  </si>
  <si>
    <t>M0320</t>
  </si>
  <si>
    <t>M0321</t>
  </si>
  <si>
    <t>M0322</t>
  </si>
  <si>
    <t>M0323</t>
  </si>
  <si>
    <t>M0324</t>
  </si>
  <si>
    <t>M0325</t>
  </si>
  <si>
    <t>M0326</t>
  </si>
  <si>
    <t>M0327</t>
  </si>
  <si>
    <t>M0328</t>
  </si>
  <si>
    <t>M0329</t>
  </si>
  <si>
    <t>PAQUETE (PQT)</t>
  </si>
  <si>
    <t>ÚTILES DE ESCRITORIO GENERAL - BASE DE DATOS</t>
  </si>
  <si>
    <t xml:space="preserve">BORRADOR BLANCO </t>
  </si>
  <si>
    <t>CALCULADORA CIENTIFICA</t>
  </si>
  <si>
    <t>FORRO VINIFAN OFF CRISTAL</t>
  </si>
  <si>
    <t>PAPELOGRAFO CUADRIMAX 1X1 56GR 58X83</t>
  </si>
  <si>
    <t>U0001</t>
  </si>
  <si>
    <t>U0002</t>
  </si>
  <si>
    <t>U0003</t>
  </si>
  <si>
    <t>U0004</t>
  </si>
  <si>
    <t>U0005</t>
  </si>
  <si>
    <t>U0006</t>
  </si>
  <si>
    <t>U0007</t>
  </si>
  <si>
    <t>U0008</t>
  </si>
  <si>
    <t>U0009</t>
  </si>
  <si>
    <t>U0010</t>
  </si>
  <si>
    <t>U0011</t>
  </si>
  <si>
    <t>U0012</t>
  </si>
  <si>
    <t>U0013</t>
  </si>
  <si>
    <t>U0014</t>
  </si>
  <si>
    <t>U0015</t>
  </si>
  <si>
    <t>U0016</t>
  </si>
  <si>
    <t>U0017</t>
  </si>
  <si>
    <t>U0018</t>
  </si>
  <si>
    <t>U0019</t>
  </si>
  <si>
    <t>U0020</t>
  </si>
  <si>
    <t>U0021</t>
  </si>
  <si>
    <t>U0022</t>
  </si>
  <si>
    <t>U0023</t>
  </si>
  <si>
    <t>U0024</t>
  </si>
  <si>
    <t>U0025</t>
  </si>
  <si>
    <t>U0026</t>
  </si>
  <si>
    <t>U0027</t>
  </si>
  <si>
    <t>U0028</t>
  </si>
  <si>
    <t>U0029</t>
  </si>
  <si>
    <t>U0030</t>
  </si>
  <si>
    <t>U0031</t>
  </si>
  <si>
    <t>U0032</t>
  </si>
  <si>
    <t>U0033</t>
  </si>
  <si>
    <t>U0034</t>
  </si>
  <si>
    <t>U0035</t>
  </si>
  <si>
    <t>U0037</t>
  </si>
  <si>
    <t>U0038</t>
  </si>
  <si>
    <t>U0039</t>
  </si>
  <si>
    <t>U0040</t>
  </si>
  <si>
    <t>U0041</t>
  </si>
  <si>
    <t>U0042</t>
  </si>
  <si>
    <t>U0043</t>
  </si>
  <si>
    <t>U0044</t>
  </si>
  <si>
    <t>U0045</t>
  </si>
  <si>
    <t>U0046</t>
  </si>
  <si>
    <t>U0047</t>
  </si>
  <si>
    <t>U0048</t>
  </si>
  <si>
    <t>U0049</t>
  </si>
  <si>
    <t>U0050</t>
  </si>
  <si>
    <t>U0051</t>
  </si>
  <si>
    <t>U0052</t>
  </si>
  <si>
    <t>U0053</t>
  </si>
  <si>
    <t>U0054</t>
  </si>
  <si>
    <t>U0055</t>
  </si>
  <si>
    <t>U0056</t>
  </si>
  <si>
    <t>U0057</t>
  </si>
  <si>
    <t>U0058</t>
  </si>
  <si>
    <t>U0059</t>
  </si>
  <si>
    <t>U0060</t>
  </si>
  <si>
    <t>U0061</t>
  </si>
  <si>
    <t>U0062</t>
  </si>
  <si>
    <t>U0063</t>
  </si>
  <si>
    <t>U0064</t>
  </si>
  <si>
    <t>U0065</t>
  </si>
  <si>
    <t>U0066</t>
  </si>
  <si>
    <t>U0067</t>
  </si>
  <si>
    <t>U0068</t>
  </si>
  <si>
    <t>U0069</t>
  </si>
  <si>
    <t>U0070</t>
  </si>
  <si>
    <t>U0071</t>
  </si>
  <si>
    <t>U0072</t>
  </si>
  <si>
    <t>TIPO DE REQUERIMIENTO:</t>
  </si>
  <si>
    <t>DESCRIPCIÓN:</t>
  </si>
  <si>
    <t>DESCRIPCIÓN</t>
  </si>
  <si>
    <t>SERIE:</t>
  </si>
  <si>
    <t>REQUERIMIENTO:</t>
  </si>
  <si>
    <t>BUSCAR EN REQUERIMIENTO</t>
  </si>
  <si>
    <t>DESCRIPCION</t>
  </si>
  <si>
    <t>TIPO DE REQUERIM:</t>
  </si>
  <si>
    <t>ANILLO ALC UF 110MM</t>
  </si>
  <si>
    <t>ANILLO ALC UF 200MM</t>
  </si>
  <si>
    <t>ANILLOS DE BUZON DE F°G° DE 0.64M DE DIAMETRO</t>
  </si>
  <si>
    <t>CODO INYECTADO DE 110MMX45° UF ALC C/SELL</t>
  </si>
  <si>
    <t>LADRILLO KING KONG ESTANDAR 18H</t>
  </si>
  <si>
    <t>MANGUERA 5/8"</t>
  </si>
  <si>
    <t>PLANCHA DE TRIPLEY DE 12MM</t>
  </si>
  <si>
    <t>PLANCHA DE TRIPLEY DE 18MM</t>
  </si>
  <si>
    <t>PLANCHA DE TRIPLEY DE 4MM</t>
  </si>
  <si>
    <t>SOLVENTE Z-LAC</t>
  </si>
  <si>
    <t>Z-LAC</t>
  </si>
  <si>
    <t>M0020</t>
  </si>
  <si>
    <t>M0248</t>
  </si>
  <si>
    <t>OTROS - BASE DE DATOS</t>
  </si>
  <si>
    <t>BANCO DE PLASTICO</t>
  </si>
  <si>
    <t>ESCALERA DE ALUMINIO EXTENSIBLE 4M 10 PASOS</t>
  </si>
  <si>
    <t>JUEGO DE DESARMADORES</t>
  </si>
  <si>
    <t>JUEGO DE LLAVES CON ESTUCHE</t>
  </si>
  <si>
    <t>PATA DE CABRA</t>
  </si>
  <si>
    <t>SILLA DE PLASTICO</t>
  </si>
  <si>
    <t>TANQUE PVC 5000 LITROS PARA AGUA</t>
  </si>
  <si>
    <t>TIMBOS DE PLASTICO DE 250 GAL</t>
  </si>
  <si>
    <t>O0001</t>
  </si>
  <si>
    <t>O0002</t>
  </si>
  <si>
    <t>O0003</t>
  </si>
  <si>
    <t>O0004</t>
  </si>
  <si>
    <t>O0005</t>
  </si>
  <si>
    <t>O0006</t>
  </si>
  <si>
    <t>O0007</t>
  </si>
  <si>
    <t>O0008</t>
  </si>
  <si>
    <t>O0009</t>
  </si>
  <si>
    <t>O0010</t>
  </si>
  <si>
    <t>O0011</t>
  </si>
  <si>
    <t>O0012</t>
  </si>
  <si>
    <t>O0013</t>
  </si>
  <si>
    <t>O0015</t>
  </si>
  <si>
    <t>O0016</t>
  </si>
  <si>
    <t>O0017</t>
  </si>
  <si>
    <t>O0018</t>
  </si>
  <si>
    <t>O0019</t>
  </si>
  <si>
    <t>O0020</t>
  </si>
  <si>
    <t>O0021</t>
  </si>
  <si>
    <t>O0022</t>
  </si>
  <si>
    <t>O0023</t>
  </si>
  <si>
    <t>O0024</t>
  </si>
  <si>
    <t>O0025</t>
  </si>
  <si>
    <t>O0026</t>
  </si>
  <si>
    <t>O0027</t>
  </si>
  <si>
    <t>O0028</t>
  </si>
  <si>
    <t>O0029</t>
  </si>
  <si>
    <t>O0030</t>
  </si>
  <si>
    <t>O0031</t>
  </si>
  <si>
    <t>O0032</t>
  </si>
  <si>
    <t>O0033</t>
  </si>
  <si>
    <t>O0034</t>
  </si>
  <si>
    <t>O0035</t>
  </si>
  <si>
    <t>O0036</t>
  </si>
  <si>
    <t>O0037</t>
  </si>
  <si>
    <t>O0038</t>
  </si>
  <si>
    <t>O0039</t>
  </si>
  <si>
    <t>O0040</t>
  </si>
  <si>
    <t>O0041</t>
  </si>
  <si>
    <t>O0042</t>
  </si>
  <si>
    <t>O0043</t>
  </si>
  <si>
    <t>O0044</t>
  </si>
  <si>
    <t>O0045</t>
  </si>
  <si>
    <t>O0046</t>
  </si>
  <si>
    <t>O0047</t>
  </si>
  <si>
    <t xml:space="preserve">ALCOHOLIMETRO DIGITAL </t>
  </si>
  <si>
    <t>APISONADORA/SALTARIN</t>
  </si>
  <si>
    <t>BASTON DE METAL</t>
  </si>
  <si>
    <t xml:space="preserve">BATERIA PARA ESTACION </t>
  </si>
  <si>
    <t>CAMARA FOTOGRAFICA</t>
  </si>
  <si>
    <t xml:space="preserve">COMPARADOR DE CLORO </t>
  </si>
  <si>
    <t>CUCHARON 40CM</t>
  </si>
  <si>
    <t>ECLIMETRO</t>
  </si>
  <si>
    <t>EQUIPO DE PRUEBA HIDROSTATICA</t>
  </si>
  <si>
    <t xml:space="preserve">FOTOCOPIADORA </t>
  </si>
  <si>
    <t>GPS</t>
  </si>
  <si>
    <t xml:space="preserve">IMPRESORA MULTIFUNCIONAL </t>
  </si>
  <si>
    <t>LAPTOP PORTATIL</t>
  </si>
  <si>
    <t>MINICARGADOR</t>
  </si>
  <si>
    <t>MOTOBOMBA</t>
  </si>
  <si>
    <t>MOTOSIERRA</t>
  </si>
  <si>
    <t xml:space="preserve">OXIMETRO DE PULSO </t>
  </si>
  <si>
    <t>PLANCHA COMPACTADORA</t>
  </si>
  <si>
    <t>PLOTTER DESINJET A0</t>
  </si>
  <si>
    <t>PLOTTER DESINJET A1</t>
  </si>
  <si>
    <t>PRISMAS Y PORTAPRISMA</t>
  </si>
  <si>
    <t>RADIO MOTOROLA + CARGADOR (PAR)</t>
  </si>
  <si>
    <t>RETROEXCAVADORA</t>
  </si>
  <si>
    <t xml:space="preserve">SIERRA CIRCULAR </t>
  </si>
  <si>
    <t xml:space="preserve">TERMOMETRO MEDICO INFRARROJO FRONTAL </t>
  </si>
  <si>
    <t>TRONZADORA DE METAL</t>
  </si>
  <si>
    <t>VIBRADOR DE CONCRETO</t>
  </si>
  <si>
    <t>VOLQUETE 12 M3</t>
  </si>
  <si>
    <t>VOLQUETE 4 M3</t>
  </si>
  <si>
    <t>CLAVOS DE 4"</t>
  </si>
  <si>
    <t>OBSERVACIÓN</t>
  </si>
  <si>
    <t>PEDESTAL DE GRANITO</t>
  </si>
  <si>
    <t>ACEITE 4 TIEMPOS</t>
  </si>
  <si>
    <t>DIESEL B5 UV (PETROLEO)</t>
  </si>
  <si>
    <t>ANILLO ALC UF 160MM</t>
  </si>
  <si>
    <t>BATEA DE METAL</t>
  </si>
  <si>
    <t>CILINDRO DE METAL</t>
  </si>
  <si>
    <t>MOLDE DE PROBETAS</t>
  </si>
  <si>
    <t>PULPO MENEQUE</t>
  </si>
  <si>
    <t>REFLECTOR</t>
  </si>
  <si>
    <t>SOCKET</t>
  </si>
  <si>
    <t>O0048</t>
  </si>
  <si>
    <t>O0049</t>
  </si>
  <si>
    <t>HERRAMIENTAS - BASE DE DATOS</t>
  </si>
  <si>
    <t>H0001</t>
  </si>
  <si>
    <t>H0002</t>
  </si>
  <si>
    <t>H0003</t>
  </si>
  <si>
    <t>H0004</t>
  </si>
  <si>
    <t>H0005</t>
  </si>
  <si>
    <t>H0006</t>
  </si>
  <si>
    <t>H0007</t>
  </si>
  <si>
    <t>H0008</t>
  </si>
  <si>
    <t>H0009</t>
  </si>
  <si>
    <t>H0010</t>
  </si>
  <si>
    <t>H0011</t>
  </si>
  <si>
    <t>H0012</t>
  </si>
  <si>
    <t>H0013</t>
  </si>
  <si>
    <t>H0014</t>
  </si>
  <si>
    <t>H0015</t>
  </si>
  <si>
    <t>H0016</t>
  </si>
  <si>
    <t>H0017</t>
  </si>
  <si>
    <t>H0018</t>
  </si>
  <si>
    <t>H0019</t>
  </si>
  <si>
    <t>H0020</t>
  </si>
  <si>
    <t>H0021</t>
  </si>
  <si>
    <t>H0022</t>
  </si>
  <si>
    <t>H0023</t>
  </si>
  <si>
    <t>H0024</t>
  </si>
  <si>
    <t>H0025</t>
  </si>
  <si>
    <t>H0026</t>
  </si>
  <si>
    <t>H0027</t>
  </si>
  <si>
    <t>H0028</t>
  </si>
  <si>
    <t>H0029</t>
  </si>
  <si>
    <t>H0030</t>
  </si>
  <si>
    <t>H0031</t>
  </si>
  <si>
    <t>H0032</t>
  </si>
  <si>
    <t>H0033</t>
  </si>
  <si>
    <t>H0034</t>
  </si>
  <si>
    <t>H0035</t>
  </si>
  <si>
    <t>H0036</t>
  </si>
  <si>
    <t>H0037</t>
  </si>
  <si>
    <t>H0038</t>
  </si>
  <si>
    <t>H0039</t>
  </si>
  <si>
    <t>H0040</t>
  </si>
  <si>
    <t>H0041</t>
  </si>
  <si>
    <t>H0042</t>
  </si>
  <si>
    <t>H0043</t>
  </si>
  <si>
    <t>H0044</t>
  </si>
  <si>
    <t>H0045</t>
  </si>
  <si>
    <t>H0046</t>
  </si>
  <si>
    <t>H0047</t>
  </si>
  <si>
    <t>H0048</t>
  </si>
  <si>
    <t>H0049</t>
  </si>
  <si>
    <t>ALICATES</t>
  </si>
  <si>
    <t>ARCO DE SIERRA</t>
  </si>
  <si>
    <t>BADILEJO</t>
  </si>
  <si>
    <t>BALDES BLANCOS PARA CONCRETO</t>
  </si>
  <si>
    <t>BARRETAS</t>
  </si>
  <si>
    <t>BROCHA 1"</t>
  </si>
  <si>
    <t>BROCHA 2"</t>
  </si>
  <si>
    <t>BROCHA 5"</t>
  </si>
  <si>
    <t>BRUNA DE CENTRO</t>
  </si>
  <si>
    <t>BRUÑA DE CANTO</t>
  </si>
  <si>
    <t>BUJIA PARA MOTOSIERRA</t>
  </si>
  <si>
    <t>CADENA DE MOTOSIERRA</t>
  </si>
  <si>
    <t>CAMARA DE LLANTAS DE CARRETILLA</t>
  </si>
  <si>
    <t xml:space="preserve">CARRETILLAS </t>
  </si>
  <si>
    <t>CINCEL PLANO</t>
  </si>
  <si>
    <t>COMBA DE 6LB</t>
  </si>
  <si>
    <t>COMBA DE GOMA</t>
  </si>
  <si>
    <t>INFLADOR</t>
  </si>
  <si>
    <t>INTERRUPTOR</t>
  </si>
  <si>
    <t>JUEGO DE LLAVES MIXTAS</t>
  </si>
  <si>
    <t>LIMA REDONDA DE MACHETE</t>
  </si>
  <si>
    <t>LIMA REDONDA PARA CADENA DE MOTOSIERRA</t>
  </si>
  <si>
    <t>LINTERNA RECARGABLE</t>
  </si>
  <si>
    <t>LLANTAS DE CARRETILLA</t>
  </si>
  <si>
    <t>MACHETE</t>
  </si>
  <si>
    <t>MANGUERA 1/2</t>
  </si>
  <si>
    <t>MANGUERA 3/4</t>
  </si>
  <si>
    <t>NIVEL DE MANO</t>
  </si>
  <si>
    <t>PALANA CUCHARA</t>
  </si>
  <si>
    <t>PALANA RECTA</t>
  </si>
  <si>
    <t>PLANCHA DE BATIR</t>
  </si>
  <si>
    <t>PLANCHA DE PULIR</t>
  </si>
  <si>
    <t>RASTRILLO</t>
  </si>
  <si>
    <t>RODILLO 12"</t>
  </si>
  <si>
    <t>SACA BUJIA</t>
  </si>
  <si>
    <t>SAPAPICO</t>
  </si>
  <si>
    <t>H0050</t>
  </si>
  <si>
    <t>H0051</t>
  </si>
  <si>
    <t>H0052</t>
  </si>
  <si>
    <t>H0053</t>
  </si>
  <si>
    <t>H0054</t>
  </si>
  <si>
    <t>H0055</t>
  </si>
  <si>
    <t>H0056</t>
  </si>
  <si>
    <t>H0057</t>
  </si>
  <si>
    <t>H0058</t>
  </si>
  <si>
    <t>TUBERIA F°G° 4"</t>
  </si>
  <si>
    <t>VALVULA BRONCE COMPUERTA 1/2"</t>
  </si>
  <si>
    <t>VALVULA FLOTADOR 1 1/2"</t>
  </si>
  <si>
    <t>VALVULA FLOTADOR 1"</t>
  </si>
  <si>
    <t>VALVULA FLOTADOR 3/4"</t>
  </si>
  <si>
    <t>VALVULA FLOTADOR 1/2"</t>
  </si>
  <si>
    <t>TEE F°G° DE 4"</t>
  </si>
  <si>
    <t>TUBERIA PVC SAP 4"</t>
  </si>
  <si>
    <t>INODORO TANQUE BAJO BLANCO (C/ACCESORIOS)</t>
  </si>
  <si>
    <t>UNION UNIVERSAL PVC 3/4"</t>
  </si>
  <si>
    <t>VALVULA BRONCE ESFERICA 1"</t>
  </si>
  <si>
    <t>REGISTRO DE BRONCE 2"</t>
  </si>
  <si>
    <t>O0050</t>
  </si>
  <si>
    <t>ABRAZADERA PVC SAP 1 1/2X1/2"</t>
  </si>
  <si>
    <t>BISAGRAS 3X3"</t>
  </si>
  <si>
    <t>ABRAZADERA F°F° 2X1"</t>
  </si>
  <si>
    <t>ABRAZADERA F°F° 2X3/4"</t>
  </si>
  <si>
    <t>ABRAZADERA F°F° 3X1"</t>
  </si>
  <si>
    <t>BRIDA F°G° 1"</t>
  </si>
  <si>
    <t>BRIDA F°G° 1.5"</t>
  </si>
  <si>
    <t>BRIDA F°G° 2"</t>
  </si>
  <si>
    <t>BRIDA F°G° 3"</t>
  </si>
  <si>
    <t>BRIDA F°G° 4"</t>
  </si>
  <si>
    <t>BRIDA F°G° 6"</t>
  </si>
  <si>
    <t>CALAMINA GALVANIZADA 1.80X0.80X0.14MM</t>
  </si>
  <si>
    <t>CALAMINA GALVANIZADA 1.80X0.83X0.22MM</t>
  </si>
  <si>
    <t>CALAMINA METALICA X 3.60 N° 22</t>
  </si>
  <si>
    <t>CANASTILLA BRONCE 1X3/4"</t>
  </si>
  <si>
    <t>CANASTILLA BRONCE 1/2X3/4"</t>
  </si>
  <si>
    <t>CANASTILLA BRONCE 3X1.5"</t>
  </si>
  <si>
    <t>CANASTILLA PVC 4X2"</t>
  </si>
  <si>
    <t>CANASTILLA PVC 4X3"</t>
  </si>
  <si>
    <t>CANASTILLA PVC 6X4"</t>
  </si>
  <si>
    <t>CARTEL DE OBRA DE 3.60MX2.40M</t>
  </si>
  <si>
    <t>CLAVO DE FIERRO X3</t>
  </si>
  <si>
    <t>CLAVO DE FIERRO X6</t>
  </si>
  <si>
    <t>CODO F°G° 2"X3MM</t>
  </si>
  <si>
    <t>CODO PVC SAL 2"X90°</t>
  </si>
  <si>
    <t>CODO PVC SAL 2"X45°</t>
  </si>
  <si>
    <t>CODO PVC SAP 2"X45°</t>
  </si>
  <si>
    <t>CODO PVC SAP 4"X45°</t>
  </si>
  <si>
    <t>CODO PVC SAP 6"X45°</t>
  </si>
  <si>
    <t>CODO PVC UF DESAGUE Ø=200MM x 90°</t>
  </si>
  <si>
    <t>ADAPTADOR PVC SAP 1/2" (REPARACION)</t>
  </si>
  <si>
    <t>CONO DE REBOSE PVC 4X2"</t>
  </si>
  <si>
    <t>CONO DE REBOSE PVC 6X3"</t>
  </si>
  <si>
    <t>COMPUERTA METALICA</t>
  </si>
  <si>
    <t>LADRILLO KK ARCILLA ARTESANAL</t>
  </si>
  <si>
    <t>LLAVE DE PASO DE 1/2" (REPARACION)</t>
  </si>
  <si>
    <t>MADERA EUCALIPTO D=4",  L=8'</t>
  </si>
  <si>
    <t>MALLA CUADRADA GALVANIZADA #10 COCADA 2X2"</t>
  </si>
  <si>
    <t>MALLA CUADRADA GALVANIZADA #12 COCADA 1/2X1/2"</t>
  </si>
  <si>
    <t>MANTA ARPILLERA X 3M</t>
  </si>
  <si>
    <t>NIPLE F°G° 1 1/2X8"</t>
  </si>
  <si>
    <t>NIPLE F°G° 2X8"</t>
  </si>
  <si>
    <t>NIPLE F°G° 1X8"</t>
  </si>
  <si>
    <t>NIPLE F°G° 1 1/2X2"</t>
  </si>
  <si>
    <t>NIPLE F°G° 11/2X8"</t>
  </si>
  <si>
    <t>NIPLE F°G° 1 1/2X 1 1/2"</t>
  </si>
  <si>
    <t>NIPLE F°G° 1X1"</t>
  </si>
  <si>
    <t>NIPLE F°G° 1X2"</t>
  </si>
  <si>
    <t>NIPLE F°G° 1/2X1"</t>
  </si>
  <si>
    <t>NIPLE F°G° 2X12"</t>
  </si>
  <si>
    <t>NIPLE F°G° 2X16"</t>
  </si>
  <si>
    <t>NIPLE F°G° 3X2"</t>
  </si>
  <si>
    <t>NIPLE F°G° 3X3"</t>
  </si>
  <si>
    <t>NIPLE F°G° 3/4X1"</t>
  </si>
  <si>
    <t>NIPLE F°G° 3/4X8"</t>
  </si>
  <si>
    <t>NIPLE F°G° 4X3"</t>
  </si>
  <si>
    <t>NIPLE F°G° 6X3"</t>
  </si>
  <si>
    <t>NIPLE F°G° 6X4"</t>
  </si>
  <si>
    <t>NIPLE F°G° 2X1 1/2"</t>
  </si>
  <si>
    <t>NIPLE F°G° 2X2"</t>
  </si>
  <si>
    <t>PALO GUAYAQUIL 4"X10m</t>
  </si>
  <si>
    <t>PALO MAGUEY 4"X10m</t>
  </si>
  <si>
    <t>PENDOLA DE ACERO 1/4"</t>
  </si>
  <si>
    <t>PERFIL  3/4X3/4X3/16"</t>
  </si>
  <si>
    <t>PERNOS DE 2 1/2X1/2"</t>
  </si>
  <si>
    <t>TAPON PVC 8"</t>
  </si>
  <si>
    <t>TUBERIA F°G° 1.5"X2MM</t>
  </si>
  <si>
    <t>TUBERIA F°G° 2"X2.5MM</t>
  </si>
  <si>
    <t>TUBERIA F°G° 3"X3MM</t>
  </si>
  <si>
    <t>TUBERIA PVC DESAGUE U.F. Ø=160MM (INC.ANILLOS)</t>
  </si>
  <si>
    <t>TUBERIA PVC DESAGUE U.F. Ø=200MM (INC.ANILLOS)</t>
  </si>
  <si>
    <t>UNION F°G° 3"</t>
  </si>
  <si>
    <t>UNION F°G° UNIVERSAL 1/2"</t>
  </si>
  <si>
    <t>TUBERIA PVCNSAP 1 1/2" (REPARACION)</t>
  </si>
  <si>
    <t>TUBERIA PVC SAP 3/4" (REPARACION)</t>
  </si>
  <si>
    <t>TUBERIA PVC SAP 2" (REPARACION)</t>
  </si>
  <si>
    <t>TUBERIA PVC SAP 1/2" (REPARACION)</t>
  </si>
  <si>
    <t>TUBERIA PVC SAP 1" (REPARACION)</t>
  </si>
  <si>
    <t>UNION SIMPLE F°G° 1"</t>
  </si>
  <si>
    <t>UNION SIMPLE F°G° 1.5"</t>
  </si>
  <si>
    <t>UNION SIMPLE F°G° 1/2"</t>
  </si>
  <si>
    <t>UNION SIMPLE F°G° 3/4"</t>
  </si>
  <si>
    <t>UNION UNIVERSAL F°G° 1 1/2"</t>
  </si>
  <si>
    <t>UNION UNIVERSAL F°G° 1"</t>
  </si>
  <si>
    <t>UNION UNIVERSAL F°G° 2"</t>
  </si>
  <si>
    <t>UNION UNIVERSAL F°G° 3/4"</t>
  </si>
  <si>
    <t>UNION UNIVERSAL F°G° 3"</t>
  </si>
  <si>
    <t>UNION UNIVERSAL F°G° 4"</t>
  </si>
  <si>
    <t>UNION UNIVERSAL F°G° 6"</t>
  </si>
  <si>
    <t>VALVULA BRONCE DE AIRE 1 1/2"</t>
  </si>
  <si>
    <t>YEE PVC SAL 2X2 C-10</t>
  </si>
  <si>
    <t>YEE PVC SAL 4X4 C-10</t>
  </si>
  <si>
    <t>YESO EN BOLSA DE 16KG</t>
  </si>
  <si>
    <t>YESO EN BOLSA DE 5KG</t>
  </si>
  <si>
    <t>VÁLVULA F°F° COMPUERTA MAZZA 8"</t>
  </si>
  <si>
    <t>VALVULA COMPUERTA DE PVC 2"</t>
  </si>
  <si>
    <t>VALVULA CORPORATION PVC 1/2"</t>
  </si>
  <si>
    <t>PLATINA DE FIERRO 1/2"X4"X6M</t>
  </si>
  <si>
    <t>PLATINA DE FIERRO 1/4"X2"</t>
  </si>
  <si>
    <t>REDUCCION PVC SAL 4"X2 C-10</t>
  </si>
  <si>
    <t>REDUCCION PVC SAP 1.5X1/2" CL-10</t>
  </si>
  <si>
    <t>PIEDRA MEDIANA DE 2"- 4"</t>
  </si>
  <si>
    <t>PIEDRA GRANDE DE 6"-8"</t>
  </si>
  <si>
    <t>PIEDRA GRANDE DE 3"-4"</t>
  </si>
  <si>
    <t>PIEDRA CHANCADA 3/4"-2"</t>
  </si>
  <si>
    <t>PIEDRA CHANCADA 1/2"-3/4"</t>
  </si>
  <si>
    <t>TUBERIA F°G° 3/4"X2MM</t>
  </si>
  <si>
    <t>PLANCHA METALICA DE 3/8"</t>
  </si>
  <si>
    <t>GUARDA CABLE 3/4"</t>
  </si>
  <si>
    <t>GRAPAS DE ACERO 1/2"</t>
  </si>
  <si>
    <t>CODO F°G° 1 1/2"</t>
  </si>
  <si>
    <t>CODO F°G° 1"</t>
  </si>
  <si>
    <t>CODO F°G° 1/2"</t>
  </si>
  <si>
    <t>CODO F°G° 2"</t>
  </si>
  <si>
    <t>CODO F°G° 3"</t>
  </si>
  <si>
    <t>CODO F°G° 3/4"</t>
  </si>
  <si>
    <t>CODO F°G° 4"</t>
  </si>
  <si>
    <t>CODO F°G° 6"</t>
  </si>
  <si>
    <t>CANASTILLA PVC 4X1 1/2"</t>
  </si>
  <si>
    <t>CODO PVC SAP 1 1/2"X45°</t>
  </si>
  <si>
    <t>GRAVA DE 1"-2"</t>
  </si>
  <si>
    <t>NIPLE PVC 1 1/2"</t>
  </si>
  <si>
    <t>REDUCCION PVC SAP 2"-1.5"</t>
  </si>
  <si>
    <t>REDUCCION PVC SAP 2"-1/2"</t>
  </si>
  <si>
    <t>TUBERIA 1" PVC SAP CL-10</t>
  </si>
  <si>
    <t>TUBERIA 1.5" PVC SAP CL-7.5</t>
  </si>
  <si>
    <t>TUBERIA 1/2" PVC SAP CL-10</t>
  </si>
  <si>
    <t>TUBERIA 2" PVC SAP CL-7.5</t>
  </si>
  <si>
    <t>TUBERIA 3" PVC SAP CL-7.5</t>
  </si>
  <si>
    <t>TUBERIA 3/4" PVC SAP CL-10</t>
  </si>
  <si>
    <t>TUBERIA 4" PVC SAP CLASE 7.5 C/ANILLO</t>
  </si>
  <si>
    <t>TUBERIA 6" PVC SAP CLASE 7.5 C/ANILLO</t>
  </si>
  <si>
    <t>VALVULA BRONCE COMPUERTA 3/4"</t>
  </si>
  <si>
    <t>EQUIPO DE PRUEBA HIDRAULICA</t>
  </si>
  <si>
    <t>GENERADOR ELECTRICO 2500w</t>
  </si>
  <si>
    <t>GENERADOR ELECTRICO 5500w</t>
  </si>
  <si>
    <t>MIRA DE ALUMINIO 5MTRS</t>
  </si>
  <si>
    <t>CASCO DE SEGURIDAD COLOR GRISS O PLOMO</t>
  </si>
  <si>
    <t>DISPENSADOR DE ALCOHOL DE F°G°</t>
  </si>
  <si>
    <t>LENTES DE SEGURIDAD (LUNA CLARA)</t>
  </si>
  <si>
    <t>LENTES DE SEGURIDAD (LUNA OSCURA)</t>
  </si>
  <si>
    <t>ESTANTE ARCHIVADOR DE MELAMINE 18MM SIN PUERTA</t>
  </si>
  <si>
    <t xml:space="preserve">EXTENSION ANARANJADO 3M </t>
  </si>
  <si>
    <t xml:space="preserve">EXTENSION ANARANJADO 5M </t>
  </si>
  <si>
    <t>EXTENSIONE 10M</t>
  </si>
  <si>
    <t>TANQUE PVC 1000 LITROS PARA AGUA</t>
  </si>
  <si>
    <t>TANQUE PVC 600 LITROS PARA AGUA</t>
  </si>
  <si>
    <t>COMBA DE 12LB</t>
  </si>
  <si>
    <t>COMBA DE 4LB</t>
  </si>
  <si>
    <t>HACHA DE 3.5LB</t>
  </si>
  <si>
    <t>REGLA DE ALUMINIO 6M</t>
  </si>
  <si>
    <t>TUBO DE ACERO 1/2</t>
  </si>
  <si>
    <t>TUBO DE DOBLAR ACERO 3/4</t>
  </si>
  <si>
    <t>WINCHA 50MT</t>
  </si>
  <si>
    <t>WINCHA 5MT</t>
  </si>
  <si>
    <t>001</t>
  </si>
  <si>
    <t>SPRAY BLANCO</t>
  </si>
  <si>
    <t>PINCEL</t>
  </si>
  <si>
    <t>U0073</t>
  </si>
  <si>
    <t>WINCHA 100MT</t>
  </si>
  <si>
    <t>SOMBRILLA</t>
  </si>
  <si>
    <t>POLO MANGALARGA PLOMO</t>
  </si>
  <si>
    <t>REQUERIMIENTO DE MATERIALES, EQUIPOS, EPP, ÚTILES, HERRAMIENTAS Y OTROS</t>
  </si>
  <si>
    <t xml:space="preserve">GUANTES DE CUERO </t>
  </si>
  <si>
    <t>PIZARRA LAMINADA BLANCA 0.80 X 1.20 MT</t>
  </si>
  <si>
    <t>PAPEL BOND 56GR 61X86 (PAPEL SABANA)</t>
  </si>
  <si>
    <t>U0074</t>
  </si>
  <si>
    <t>O0051</t>
  </si>
  <si>
    <t>SOGA DRIZA 1/4"</t>
  </si>
  <si>
    <t>CINTA DE EMBALAJE</t>
  </si>
  <si>
    <t>U0075</t>
  </si>
  <si>
    <t>U0076</t>
  </si>
  <si>
    <t xml:space="preserve">PLUMON AZUL PIZARRA P/GRUESA </t>
  </si>
  <si>
    <t>PLUMON NEGRO PIZARRA P/GRUESA</t>
  </si>
  <si>
    <t>PLUMON ROJO PIZARRA P/GRUESA</t>
  </si>
  <si>
    <t>PLUMON VERDE PIZARRA P/GRUESA</t>
  </si>
  <si>
    <t>PLUMON WINNER NEGRO 2.8MM</t>
  </si>
  <si>
    <t>PLUMON JUMBO AZUL</t>
  </si>
  <si>
    <t>PLUMON JUMBO NEGRO</t>
  </si>
  <si>
    <t>PLUMON JUMBO ROJO</t>
  </si>
  <si>
    <t>PLUMON JUMBO VERDE</t>
  </si>
  <si>
    <t>PLUMON RESALTADOR AMARILLO</t>
  </si>
  <si>
    <t>PLUMON RESALTADOR NARANJA</t>
  </si>
  <si>
    <t>PLUMON RESALTADOR VERDE</t>
  </si>
  <si>
    <t>SACAGRAPA</t>
  </si>
  <si>
    <t xml:space="preserve">SILICONA LIQUIDA 100ML </t>
  </si>
  <si>
    <t>TAMPON ROJO PEQUEÑO</t>
  </si>
  <si>
    <t>TAMPON 2K AZUL</t>
  </si>
  <si>
    <t>TAMPON 2K NEGRO</t>
  </si>
  <si>
    <t>TAMPON 3K NEGRO</t>
  </si>
  <si>
    <t>TAMPON 3K AZUL</t>
  </si>
  <si>
    <t>U0077</t>
  </si>
  <si>
    <t>U0078</t>
  </si>
  <si>
    <t>TAMPON P HUELLA DIGITAL NEGRO</t>
  </si>
  <si>
    <t>TINTA TAMPON AZUL</t>
  </si>
  <si>
    <t>TINTA TAMPON NEGRO</t>
  </si>
  <si>
    <t>PAPEL FOTOCOPIA 75GR A-4 PQTX500</t>
  </si>
  <si>
    <t>PAPEL FOTOCOPIA 75GR A-3 PQTX500</t>
  </si>
  <si>
    <t>ARCHIVADOR CARTON OF L/ANCH NEGRO</t>
  </si>
  <si>
    <t>ARCHIVADOR CARTON OF L/ANGOS NEGRO</t>
  </si>
  <si>
    <t xml:space="preserve">FOLDER MANILA A4 PQTX25 </t>
  </si>
  <si>
    <t>SOBRE MANILA A4 PQX50</t>
  </si>
  <si>
    <t>TAJADADOR PLASTICO</t>
  </si>
  <si>
    <t>MICA PORTAPAPEL PQTX10</t>
  </si>
  <si>
    <t>CHINCHES DORADO (CAJAX100)</t>
  </si>
  <si>
    <t>CINTA ADHESIVA 1"X72 YDS CRISTAL</t>
  </si>
  <si>
    <t>CUCHILLAS 18MM</t>
  </si>
  <si>
    <t>DVD-R GRAB 4.7GB 16X (CONX50)</t>
  </si>
  <si>
    <t>LIMPIATIPOS</t>
  </si>
  <si>
    <t>REGLA 20CM TRANSPARENTE</t>
  </si>
  <si>
    <t>REGLA 30CM TRANSPARENTE</t>
  </si>
  <si>
    <t>PEGAMENTO BARRA X 40GR</t>
  </si>
  <si>
    <t>CINTA MASKING TAPE 36MM</t>
  </si>
  <si>
    <t>CINTA MASKING TAPE 24MM</t>
  </si>
  <si>
    <t>LAPICERO AZUL</t>
  </si>
  <si>
    <t>LAPICERO NEGRO</t>
  </si>
  <si>
    <t>LAPICERO ROJO</t>
  </si>
  <si>
    <t>CINTA ADHESIVA 1"X72 YDS TRANSPARENTE</t>
  </si>
  <si>
    <t>CLIPS MARIPOSA 45MM CHICO (CAX50)</t>
  </si>
  <si>
    <t>CLIPS JUMBO 33MM (CAX100)</t>
  </si>
  <si>
    <t>ENGRAPADOR T/ALICATE</t>
  </si>
  <si>
    <t>FASTENER (CAX50)</t>
  </si>
  <si>
    <t>GRAPAS 26/6 CAX5000</t>
  </si>
  <si>
    <t>LAPIZ N° 2 TRIANGULAR</t>
  </si>
  <si>
    <t>MOTA PARA PIZARRA</t>
  </si>
  <si>
    <t>NOTAS ADH 3X3¨ NEON 5 COL X 500H</t>
  </si>
  <si>
    <t>NUMERADORA 6 DIGITOS</t>
  </si>
  <si>
    <t>PAPEL BOND  P/PLOTTER 90G 36"X50MTRS</t>
  </si>
  <si>
    <t>PAPEL BOND P/PLOTER 90G.24"X45MTR</t>
  </si>
  <si>
    <t>PERFORADOR 20H</t>
  </si>
  <si>
    <t>ENGRAPADOR 20H</t>
  </si>
  <si>
    <t>TUBERIA PVC DESAGUE U.F. Ø=110MM (INC.ANILLOS)</t>
  </si>
  <si>
    <t>CACHIMBA 160X110MM (6X4")</t>
  </si>
  <si>
    <t>CACHIMBA 200X110MM (8X4")</t>
  </si>
  <si>
    <t>M0330</t>
  </si>
  <si>
    <t>CODO PVC SAL 110MMX45° (4"X45°)</t>
  </si>
  <si>
    <t>CODO PVC SAL 110MMX90° (4"x90°)</t>
  </si>
  <si>
    <t>FORMA DE BUZON EXTERIOR DE D=1.5M A=1.5M (JUEGO)</t>
  </si>
  <si>
    <t>FORMA DE BUZON EXTERIOR DE D=1.9M A=1.5M (JUEGO)</t>
  </si>
  <si>
    <t>FORMA DE BUZON INTERIOR DE D=1.2M A=1.2M (JUEGO)</t>
  </si>
  <si>
    <t>FORMA DE BUZON INTERIOR DE D=1.5M A=1.5M (JUEGO)</t>
  </si>
  <si>
    <t>FORMA PARA TECHOS DE BUZON DE D=1.9M A=0.2M (JUEGO)</t>
  </si>
  <si>
    <t>FORMA PARA TECHOS DE BUZON DE D=1.5M A=0.2M (JUEGO)</t>
  </si>
  <si>
    <t>FORMA PARA TECHOS DE BUZON DE D=1.6M A=0.2M (JUEGO)</t>
  </si>
  <si>
    <t>O0052</t>
  </si>
  <si>
    <t>TAPA DE BUZÓN Co. d= 0.60 m.</t>
  </si>
  <si>
    <t>FIERRO CORRUGADO DE 1/4" (6MMX9M)</t>
  </si>
  <si>
    <t>HORMIGON DE RIO</t>
  </si>
  <si>
    <t>CALCULARADA 8 DIGITOS</t>
  </si>
  <si>
    <t>HOJA DE SIERRA</t>
  </si>
  <si>
    <t>ESCOBA</t>
  </si>
  <si>
    <t>RECOGEDOR</t>
  </si>
  <si>
    <t>TRAPEADOR</t>
  </si>
  <si>
    <t>O0053</t>
  </si>
  <si>
    <t>O0054</t>
  </si>
  <si>
    <t>O0055</t>
  </si>
  <si>
    <t>TAPER PLASTICO</t>
  </si>
  <si>
    <t>TOMATODO PLASTICO</t>
  </si>
  <si>
    <t>COMODOY 1.5 PLZ</t>
  </si>
  <si>
    <t>MESA DE PLASTICO</t>
  </si>
  <si>
    <t>O0056</t>
  </si>
  <si>
    <t>O0057</t>
  </si>
  <si>
    <t>COMBA DE 20LB</t>
  </si>
  <si>
    <t>H0059</t>
  </si>
  <si>
    <t>H0060</t>
  </si>
  <si>
    <t>TORTOL 3/8X14"</t>
  </si>
  <si>
    <t>DISCO DE CORTE DE ACERO 14"</t>
  </si>
  <si>
    <t>DISCO DE CORTE DE ACERO 7.5"</t>
  </si>
  <si>
    <t>DISCO DE CORTE DE CONCRETO 7.5"</t>
  </si>
  <si>
    <t>DISCO DE CORTE DE MADERA 7.5"</t>
  </si>
  <si>
    <t>SERRUCHO CARPINTERO 20"</t>
  </si>
  <si>
    <t>H0061</t>
  </si>
  <si>
    <t>H0062</t>
  </si>
  <si>
    <t>H0063</t>
  </si>
  <si>
    <t>H0064</t>
  </si>
  <si>
    <t>H0065</t>
  </si>
  <si>
    <t>TALADRO ELECTRICO/ROTOMARTILLO</t>
  </si>
  <si>
    <t>EXTENSION VULCANIZADA X100M</t>
  </si>
  <si>
    <t>ESCRITORIO DE MELAMINE</t>
  </si>
  <si>
    <t>TABLERO PORTAPAPEL</t>
  </si>
  <si>
    <t>U0079</t>
  </si>
  <si>
    <t>CUADERNO A4 CUADRICULADO</t>
  </si>
  <si>
    <t>CUADERNO A5 CUADRICULADO</t>
  </si>
  <si>
    <t>MOUSE PAD</t>
  </si>
  <si>
    <t>U0036</t>
  </si>
  <si>
    <t>ARCHIVADOR DE MELAMINE</t>
  </si>
  <si>
    <t>O0014</t>
  </si>
  <si>
    <t>BROCA DE MADERA 1/2"</t>
  </si>
  <si>
    <t>PUNTA/BARRENO DE ROTOMARTILLO</t>
  </si>
  <si>
    <t>REGLA DE ALUMINIO</t>
  </si>
  <si>
    <t>M0331</t>
  </si>
  <si>
    <t>TRAMPA PARA DOBLAR ACERO 1/2"</t>
  </si>
  <si>
    <t>TRAMPA PARA DOBLAR ACERO 3/8"</t>
  </si>
  <si>
    <t>TRAMPA PARA DOBLAR ACERO 5/8"</t>
  </si>
  <si>
    <t>LISTON DE MADERA 2X2"X3M</t>
  </si>
  <si>
    <t>LISTON DE MADERA 3X2"X3M</t>
  </si>
  <si>
    <t>LISTON DE MADERA 3X3"X3M</t>
  </si>
  <si>
    <t>M0332</t>
  </si>
  <si>
    <t>M0333</t>
  </si>
  <si>
    <t>CLAVO DE 5"</t>
  </si>
  <si>
    <t>M0334</t>
  </si>
  <si>
    <t>ESCUADRA METALICA DE MANO</t>
  </si>
  <si>
    <t>PLASTICO MARGARITO</t>
  </si>
  <si>
    <t>O0058</t>
  </si>
  <si>
    <t>NAYLON #40</t>
  </si>
  <si>
    <t>O0059</t>
  </si>
  <si>
    <t>SISAYA DE CORTE</t>
  </si>
  <si>
    <t>LISTON DE MADERA 1.5X1.5"X2.5M</t>
  </si>
  <si>
    <t>LISTON DE MADERA 2.5X2.5"X2.5M</t>
  </si>
  <si>
    <t>LISTON DE MADERA 1X1"X3M</t>
  </si>
  <si>
    <t>M0335</t>
  </si>
  <si>
    <t>M0336</t>
  </si>
  <si>
    <t>M0337</t>
  </si>
  <si>
    <t>BIDONES DE AGUA DE MESA 20L</t>
  </si>
  <si>
    <t>O0060</t>
  </si>
  <si>
    <t>CONO DE ABRAMS</t>
  </si>
  <si>
    <t>CONO DE SEGURIDAD</t>
  </si>
  <si>
    <t>M0338</t>
  </si>
  <si>
    <t>M0339</t>
  </si>
  <si>
    <t>CINTA AISLANTE ROJA</t>
  </si>
  <si>
    <t>U0080</t>
  </si>
  <si>
    <t>FRANELA ROJA</t>
  </si>
  <si>
    <t>O0061</t>
  </si>
  <si>
    <t>MARCADOR PERMANENTE NEGRO GRUESO</t>
  </si>
  <si>
    <t>MARCADOR PERMANENTE AZUL GRUESO</t>
  </si>
  <si>
    <t>MARCADOR PERMANENTE ROJO GRUESO</t>
  </si>
  <si>
    <t>MARCADOR PERMANENTE NEGRO FINO</t>
  </si>
  <si>
    <t>EP0046</t>
  </si>
  <si>
    <t>PANTALON NARANJA</t>
  </si>
  <si>
    <t>CONTENEDOR DE RR.SS NEGRO</t>
  </si>
  <si>
    <t>CONTENEDOR DE RR.SS VERDE</t>
  </si>
  <si>
    <t>CONTENEDOR DE RR.SS MARRON</t>
  </si>
  <si>
    <t>CONTENEDOR DE RR.SS ROJO</t>
  </si>
  <si>
    <t>O0062</t>
  </si>
  <si>
    <t>O0063</t>
  </si>
  <si>
    <t>O0064</t>
  </si>
  <si>
    <t>O0065</t>
  </si>
  <si>
    <t>TIJERA 8"</t>
  </si>
  <si>
    <t>CLIPS JUMBO 50MM (CAX100)</t>
  </si>
  <si>
    <t>U0081</t>
  </si>
  <si>
    <t>COLA 250GR C/APLICADOR</t>
  </si>
  <si>
    <t>U0082</t>
  </si>
  <si>
    <t>U0083</t>
  </si>
  <si>
    <t>CHINCHES DE COLOR (CAJX100)</t>
  </si>
  <si>
    <t>GRASA</t>
  </si>
  <si>
    <t>ABRAZADERA PVC SAP 2X1 1/2"</t>
  </si>
  <si>
    <t>ABRAZADERA PVC SAP 2X1/2"</t>
  </si>
  <si>
    <t>ABRAZADERA PVC SAP 1X1/2"</t>
  </si>
  <si>
    <t>M0340</t>
  </si>
  <si>
    <t>M0341</t>
  </si>
  <si>
    <t>LLAVE STILSON 10"</t>
  </si>
  <si>
    <t>LLAVE STILSON 18"</t>
  </si>
  <si>
    <t>H0066</t>
  </si>
  <si>
    <t>H0067</t>
  </si>
  <si>
    <t>PLOMADA</t>
  </si>
  <si>
    <t>TIRALINEA</t>
  </si>
  <si>
    <t>H0068</t>
  </si>
  <si>
    <t>H0069</t>
  </si>
  <si>
    <t>MARTILLO DE METAL</t>
  </si>
  <si>
    <t>MARTILLO DE GOMA</t>
  </si>
  <si>
    <t>H0070</t>
  </si>
  <si>
    <t>H0071</t>
  </si>
  <si>
    <t>VARILLA LISA PARA DISEÑO DE MEZCLA</t>
  </si>
  <si>
    <t>SOGA DRIZA 1/2"</t>
  </si>
  <si>
    <t>O0066</t>
  </si>
  <si>
    <t>BOTAS DE PUNTA DE ACERO</t>
  </si>
  <si>
    <t>EP0047</t>
  </si>
  <si>
    <t>O0067</t>
  </si>
  <si>
    <t>BOLSA DE BASURA 70CM</t>
  </si>
  <si>
    <t>CAPUCHONES 1/2"</t>
  </si>
  <si>
    <t>EP0048</t>
  </si>
  <si>
    <t>LISTON DE MADERA DE 2.5X2.5"X3M</t>
  </si>
  <si>
    <t>M0342</t>
  </si>
  <si>
    <t>O0068</t>
  </si>
  <si>
    <t>DETERGENTE</t>
  </si>
  <si>
    <t>O0069</t>
  </si>
  <si>
    <t>LEJIA 1L</t>
  </si>
  <si>
    <t>CORRECTOR</t>
  </si>
  <si>
    <t>U0084</t>
  </si>
  <si>
    <t>FOLDER MANILA A4 PQTX25 - VERDE</t>
  </si>
  <si>
    <t>U0085</t>
  </si>
  <si>
    <t>CD-R 700MB/80MIN</t>
  </si>
  <si>
    <t>U0086</t>
  </si>
  <si>
    <t>PAPEL AUTOADHESIVO COUCHE</t>
  </si>
  <si>
    <t>U0087</t>
  </si>
  <si>
    <t>CAMIONETA 4X4</t>
  </si>
  <si>
    <t>E0048</t>
  </si>
  <si>
    <t>PLASTICO ROJO</t>
  </si>
  <si>
    <t>PLASTICO MAGENTA</t>
  </si>
  <si>
    <t>PLASTICO BLANCO</t>
  </si>
  <si>
    <t>O0070</t>
  </si>
  <si>
    <t>O0071</t>
  </si>
  <si>
    <t>O0072</t>
  </si>
  <si>
    <t>U0088</t>
  </si>
  <si>
    <t>LIBRETA ESPIRAL 70H CUADRICULADO</t>
  </si>
  <si>
    <t>M0343</t>
  </si>
  <si>
    <t>REDUCCION PVC SAP 2"-1"</t>
  </si>
  <si>
    <t>REDUCCION PVC SAP 2"-3/4"</t>
  </si>
  <si>
    <t>M0344</t>
  </si>
  <si>
    <t>REDUCCION PVC SAP 1.5"-3/4"</t>
  </si>
  <si>
    <t>M0345</t>
  </si>
  <si>
    <t>REDUCCION PVC SAP 1.5"-1"</t>
  </si>
  <si>
    <t>M0346</t>
  </si>
  <si>
    <t>REDUCCION PVC SAP 1"-3/4"</t>
  </si>
  <si>
    <t>M0347</t>
  </si>
  <si>
    <t>CODO PVC SAP 2"X45° (REPARACION) CL-5</t>
  </si>
  <si>
    <t>M0348</t>
  </si>
  <si>
    <t>CODO PVC SAP 2"X90° (REPARACION) CL-5</t>
  </si>
  <si>
    <t>M0349</t>
  </si>
  <si>
    <t>M0350</t>
  </si>
  <si>
    <t>CODO PVC SAP 1"X90° CL-10</t>
  </si>
  <si>
    <t>CODO PVC SAP 1"X45° CL-10</t>
  </si>
  <si>
    <t>M0351</t>
  </si>
  <si>
    <t>CODO PVC SAP 3/4"X90° CL-10</t>
  </si>
  <si>
    <t>M0352</t>
  </si>
  <si>
    <t>TEE PVC SAP 2" (REPARACION) CL-5</t>
  </si>
  <si>
    <t>TEE PVC SAP 3/4" (REPARACION)</t>
  </si>
  <si>
    <t>M0353</t>
  </si>
  <si>
    <t>TAPON HEMBRA PVC SAP 1"</t>
  </si>
  <si>
    <t>M0354</t>
  </si>
  <si>
    <t>TAPON HEMBRA PVC SAP 3/4"</t>
  </si>
  <si>
    <t>M0355</t>
  </si>
  <si>
    <t>UNION UNIVERSAL PVC SAP 2"</t>
  </si>
  <si>
    <t>M0356</t>
  </si>
  <si>
    <t>UNION PVC SAP UNIVERSAL 1 1/2"</t>
  </si>
  <si>
    <t>UNION PVC SAP UNIVERSAL 1"</t>
  </si>
  <si>
    <t>UNION PVC SAP UNIVERSAL 1/2"</t>
  </si>
  <si>
    <t>NIPLE F°G° 3/4X2"</t>
  </si>
  <si>
    <t>M0357</t>
  </si>
  <si>
    <t>ADAPTADOR PVC 2" (REPARACION)</t>
  </si>
  <si>
    <t>M0358</t>
  </si>
  <si>
    <t>CODO PVC SAP 3/4"X45° CL-10</t>
  </si>
  <si>
    <t>M0359</t>
  </si>
  <si>
    <t>CODO PVC SAP 1/2"X90° CL-10</t>
  </si>
  <si>
    <t>M0360</t>
  </si>
  <si>
    <t>CODO PVC SAP 1/2"X45° CL-10</t>
  </si>
  <si>
    <t>M0361</t>
  </si>
  <si>
    <t>TAPON HEMBRA PVC SAP 1/2"</t>
  </si>
  <si>
    <t>M0362</t>
  </si>
  <si>
    <t>GUIA</t>
  </si>
  <si>
    <t>TIMBOS DE 250 LITROS</t>
  </si>
  <si>
    <t>TINTA EPSON BOTELLA NEGRO</t>
  </si>
  <si>
    <t>TINTA EPSON BOTELLA CYAN</t>
  </si>
  <si>
    <t>TINTA EPSON BOTELLA MAGENTA</t>
  </si>
  <si>
    <t>TINTA EPSON BOTELLA AMARILLO</t>
  </si>
  <si>
    <t>ESMALTE AMARRILLO SINTETICO</t>
  </si>
  <si>
    <t>ESMALTE BLANCO SINTETICO</t>
  </si>
  <si>
    <t>ESMALTE ROJO SINTETICO</t>
  </si>
  <si>
    <t>CINCEL CON PUNTA 5/8"</t>
  </si>
  <si>
    <t>PANEL DE TRIPLAY DE 18MM (ARMADO)</t>
  </si>
  <si>
    <t>M0363</t>
  </si>
  <si>
    <t>BROCA DE MADERA 3/8"</t>
  </si>
  <si>
    <t>BROCA DE CONCRETO 1/2"</t>
  </si>
  <si>
    <t>H0072</t>
  </si>
  <si>
    <t>H0073</t>
  </si>
  <si>
    <t>LITRO (L)</t>
  </si>
  <si>
    <t>CODO PVC SAP 1/2" (REPARACION)</t>
  </si>
  <si>
    <t>SARANDA CON MALLA DE METAL 1/2" (1.20X1.20)</t>
  </si>
  <si>
    <t>SIN FECHA</t>
  </si>
  <si>
    <t>TAMBORES DE METAL PARA BUZON DE D=0.6M A=0.2M</t>
  </si>
  <si>
    <t>MASCARILLA NOTEX</t>
  </si>
  <si>
    <t>MASCARILLA QUIRURGICA</t>
  </si>
  <si>
    <t>EP0049</t>
  </si>
  <si>
    <t>PEDILUVIO DE ACERO INOXIDABLE</t>
  </si>
  <si>
    <t>PEDILUVIO DE CAUCHO</t>
  </si>
  <si>
    <t>EP0050</t>
  </si>
  <si>
    <t>ASPERSOR/PULVERIZADOR</t>
  </si>
  <si>
    <t>EP0051</t>
  </si>
  <si>
    <t>EPP</t>
  </si>
  <si>
    <t>REDUCCION PVC SAP 3/4"-1/2" CL-10</t>
  </si>
  <si>
    <t>HERRAMIENTAS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</si>
</sst>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9"/>
      <name val="Calibri"/>
      <family val="2"/>
      <scheme val="minor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2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medium">
        <color rgb="FFFFC000"/>
      </left>
      <right/>
      <top style="medium">
        <color theme="7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0" fillId="0" borderId="0">
      <alignment vertical="top"/>
    </xf>
    <xf numFmtId="43" fontId="13" fillId="0" borderId="0" applyFont="0" applyFill="0" applyBorder="0" applyAlignment="0" applyProtection="0"/>
  </cellStyleXfs>
  <cellXfs count="214">
    <xf numFmtId="0" fontId="0" fillId="0" borderId="0" xfId="0"/>
    <xf numFmtId="0" fontId="0" fillId="0" borderId="11" xfId="0" applyBorder="1"/>
    <xf numFmtId="0" fontId="0" fillId="0" borderId="10" xfId="0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wrapText="1"/>
    </xf>
    <xf numFmtId="0" fontId="1" fillId="7" borderId="10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11" xfId="0" applyFont="1" applyBorder="1"/>
    <xf numFmtId="0" fontId="0" fillId="0" borderId="0" xfId="0" applyFont="1" applyBorder="1"/>
    <xf numFmtId="0" fontId="0" fillId="0" borderId="0" xfId="0" applyFont="1" applyAlignment="1">
      <alignment wrapText="1"/>
    </xf>
    <xf numFmtId="0" fontId="0" fillId="0" borderId="10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0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 wrapText="1"/>
    </xf>
    <xf numFmtId="0" fontId="1" fillId="7" borderId="50" xfId="0" applyFont="1" applyFill="1" applyBorder="1" applyAlignment="1">
      <alignment horizontal="center" vertical="center" wrapText="1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Font="1" applyBorder="1" applyAlignment="1">
      <alignment horizontal="center" vertical="center"/>
    </xf>
    <xf numFmtId="2" fontId="0" fillId="0" borderId="16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left" vertical="center"/>
    </xf>
    <xf numFmtId="0" fontId="16" fillId="0" borderId="10" xfId="0" applyFont="1" applyFill="1" applyBorder="1" applyAlignment="1">
      <alignment horizontal="left" vertical="center" wrapText="1"/>
    </xf>
    <xf numFmtId="0" fontId="16" fillId="0" borderId="10" xfId="0" applyFont="1" applyFill="1" applyBorder="1" applyAlignment="1">
      <alignment horizontal="left" vertical="center"/>
    </xf>
    <xf numFmtId="0" fontId="16" fillId="0" borderId="10" xfId="0" applyFont="1" applyFill="1" applyBorder="1" applyAlignment="1">
      <alignment horizontal="left" vertical="center" wrapText="1" readingOrder="1"/>
    </xf>
    <xf numFmtId="0" fontId="16" fillId="0" borderId="17" xfId="0" applyFont="1" applyFill="1" applyBorder="1" applyAlignment="1">
      <alignment horizontal="left" vertical="center" wrapText="1"/>
    </xf>
    <xf numFmtId="0" fontId="16" fillId="0" borderId="17" xfId="0" applyFont="1" applyFill="1" applyBorder="1" applyAlignment="1">
      <alignment horizontal="left" vertical="center" wrapText="1" readingOrder="1"/>
    </xf>
    <xf numFmtId="0" fontId="16" fillId="0" borderId="17" xfId="0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Font="1" applyBorder="1" applyAlignment="1">
      <alignment horizontal="left"/>
    </xf>
    <xf numFmtId="0" fontId="0" fillId="0" borderId="10" xfId="0" applyFont="1" applyBorder="1" applyAlignment="1">
      <alignment horizontal="left" vertical="center" wrapText="1"/>
    </xf>
    <xf numFmtId="0" fontId="13" fillId="0" borderId="10" xfId="2" applyNumberFormat="1" applyFont="1" applyBorder="1" applyAlignment="1">
      <alignment horizontal="left" vertical="center"/>
    </xf>
    <xf numFmtId="0" fontId="13" fillId="0" borderId="10" xfId="0" applyNumberFormat="1" applyFont="1" applyBorder="1" applyAlignment="1">
      <alignment horizontal="left" vertical="center"/>
    </xf>
    <xf numFmtId="0" fontId="13" fillId="0" borderId="10" xfId="2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0" xfId="0" applyNumberFormat="1" applyFont="1" applyBorder="1" applyAlignment="1">
      <alignment horizontal="left" vertical="center"/>
    </xf>
    <xf numFmtId="0" fontId="17" fillId="0" borderId="18" xfId="0" applyFont="1" applyBorder="1" applyAlignment="1">
      <alignment horizontal="left" vertical="center"/>
    </xf>
    <xf numFmtId="0" fontId="0" fillId="0" borderId="10" xfId="0" applyFont="1" applyFill="1" applyBorder="1" applyAlignment="1">
      <alignment horizontal="left" vertical="center"/>
    </xf>
    <xf numFmtId="0" fontId="18" fillId="7" borderId="10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2" fontId="19" fillId="0" borderId="10" xfId="0" applyNumberFormat="1" applyFont="1" applyBorder="1" applyAlignment="1">
      <alignment horizontal="center" vertical="center"/>
    </xf>
    <xf numFmtId="2" fontId="19" fillId="0" borderId="14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0" xfId="0" applyNumberFormat="1" applyFont="1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11" fillId="0" borderId="0" xfId="0" applyNumberFormat="1" applyFont="1" applyAlignment="1" applyProtection="1">
      <alignment horizontal="center" vertical="center"/>
      <protection locked="0"/>
    </xf>
    <xf numFmtId="0" fontId="1" fillId="7" borderId="12" xfId="0" applyFont="1" applyFill="1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0" fillId="7" borderId="34" xfId="0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2" fontId="8" fillId="0" borderId="0" xfId="0" applyNumberFormat="1" applyFont="1" applyFill="1" applyBorder="1" applyAlignment="1" applyProtection="1">
      <alignment vertical="center"/>
      <protection locked="0"/>
    </xf>
    <xf numFmtId="0" fontId="0" fillId="5" borderId="37" xfId="0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38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7" fillId="5" borderId="0" xfId="0" applyFont="1" applyFill="1" applyBorder="1" applyAlignment="1" applyProtection="1">
      <alignment horizontal="center" vertical="center"/>
      <protection locked="0"/>
    </xf>
    <xf numFmtId="0" fontId="3" fillId="5" borderId="38" xfId="0" applyFont="1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49" fontId="7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2" fontId="1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2" fillId="6" borderId="14" xfId="0" applyFont="1" applyFill="1" applyBorder="1" applyAlignment="1" applyProtection="1">
      <alignment horizontal="center" vertical="center"/>
      <protection locked="0"/>
    </xf>
    <xf numFmtId="49" fontId="2" fillId="6" borderId="14" xfId="0" applyNumberFormat="1" applyFont="1" applyFill="1" applyBorder="1" applyAlignment="1" applyProtection="1">
      <alignment horizontal="center" vertical="center"/>
      <protection locked="0"/>
    </xf>
    <xf numFmtId="2" fontId="2" fillId="6" borderId="14" xfId="0" applyNumberFormat="1" applyFont="1" applyFill="1" applyBorder="1" applyAlignment="1" applyProtection="1">
      <alignment horizontal="center" vertical="center"/>
      <protection locked="0"/>
    </xf>
    <xf numFmtId="2" fontId="4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11" fillId="9" borderId="10" xfId="0" applyFont="1" applyFill="1" applyBorder="1" applyAlignment="1" applyProtection="1">
      <alignment horizontal="center" vertical="center"/>
      <protection locked="0"/>
    </xf>
    <xf numFmtId="49" fontId="11" fillId="9" borderId="10" xfId="0" applyNumberFormat="1" applyFont="1" applyFill="1" applyBorder="1" applyAlignment="1" applyProtection="1">
      <alignment horizontal="center" vertical="center"/>
      <protection locked="0"/>
    </xf>
    <xf numFmtId="2" fontId="11" fillId="9" borderId="10" xfId="0" applyNumberFormat="1" applyFont="1" applyFill="1" applyBorder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vertical="center"/>
      <protection locked="0"/>
    </xf>
    <xf numFmtId="0" fontId="0" fillId="5" borderId="39" xfId="0" applyFill="1" applyBorder="1" applyAlignment="1" applyProtection="1">
      <alignment horizontal="center" vertical="center"/>
      <protection locked="0"/>
    </xf>
    <xf numFmtId="0" fontId="3" fillId="5" borderId="40" xfId="0" applyFont="1" applyFill="1" applyBorder="1" applyAlignment="1" applyProtection="1">
      <alignment horizontal="center" vertical="center"/>
      <protection locked="0"/>
    </xf>
    <xf numFmtId="0" fontId="3" fillId="5" borderId="41" xfId="0" applyFont="1" applyFill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49" fontId="8" fillId="0" borderId="0" xfId="0" applyNumberFormat="1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  <xf numFmtId="2" fontId="8" fillId="0" borderId="0" xfId="0" applyNumberFormat="1" applyFont="1" applyBorder="1" applyAlignment="1" applyProtection="1">
      <alignment vertical="center"/>
      <protection locked="0"/>
    </xf>
    <xf numFmtId="0" fontId="2" fillId="7" borderId="14" xfId="0" applyFont="1" applyFill="1" applyBorder="1" applyAlignment="1" applyProtection="1">
      <alignment horizontal="center" vertical="center"/>
      <protection locked="0"/>
    </xf>
    <xf numFmtId="49" fontId="2" fillId="7" borderId="14" xfId="0" applyNumberFormat="1" applyFont="1" applyFill="1" applyBorder="1" applyAlignment="1" applyProtection="1">
      <alignment horizontal="center" vertical="center" wrapText="1"/>
      <protection locked="0"/>
    </xf>
    <xf numFmtId="2" fontId="2" fillId="7" borderId="14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1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5" fillId="4" borderId="6" xfId="0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49" fontId="3" fillId="4" borderId="3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left" vertical="center"/>
      <protection locked="0"/>
    </xf>
    <xf numFmtId="0" fontId="3" fillId="4" borderId="5" xfId="0" applyFont="1" applyFill="1" applyBorder="1" applyAlignment="1" applyProtection="1">
      <alignment horizontal="center" vertical="center"/>
      <protection locked="0"/>
    </xf>
    <xf numFmtId="49" fontId="3" fillId="4" borderId="6" xfId="0" applyNumberFormat="1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5" fillId="4" borderId="6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vertical="center" wrapText="1"/>
      <protection locked="0"/>
    </xf>
    <xf numFmtId="49" fontId="5" fillId="0" borderId="0" xfId="0" applyNumberFormat="1" applyFont="1" applyFill="1" applyBorder="1" applyAlignment="1" applyProtection="1">
      <alignment vertical="center" wrapText="1"/>
      <protection locked="0"/>
    </xf>
    <xf numFmtId="0" fontId="7" fillId="4" borderId="0" xfId="0" applyFont="1" applyFill="1" applyBorder="1" applyAlignment="1" applyProtection="1">
      <alignment horizontal="left" vertical="center"/>
      <protection locked="0"/>
    </xf>
    <xf numFmtId="49" fontId="3" fillId="4" borderId="8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0" fontId="4" fillId="5" borderId="28" xfId="0" applyFont="1" applyFill="1" applyBorder="1" applyAlignment="1" applyProtection="1">
      <alignment horizontal="center" vertical="center"/>
      <protection locked="0"/>
    </xf>
    <xf numFmtId="0" fontId="4" fillId="5" borderId="29" xfId="0" applyFont="1" applyFill="1" applyBorder="1" applyAlignment="1" applyProtection="1">
      <alignment horizontal="center" vertical="center"/>
      <protection locked="0"/>
    </xf>
    <xf numFmtId="0" fontId="4" fillId="0" borderId="33" xfId="0" applyFont="1" applyFill="1" applyBorder="1" applyAlignment="1" applyProtection="1">
      <alignment horizontal="center" vertical="center"/>
      <protection locked="0"/>
    </xf>
    <xf numFmtId="0" fontId="3" fillId="5" borderId="29" xfId="0" applyFont="1" applyFill="1" applyBorder="1" applyAlignment="1" applyProtection="1">
      <alignment horizontal="center" vertical="center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28" xfId="0" applyFont="1" applyFill="1" applyBorder="1" applyAlignment="1" applyProtection="1">
      <alignment horizontal="center" vertical="center" wrapText="1"/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2" fillId="7" borderId="10" xfId="0" applyFont="1" applyFill="1" applyBorder="1" applyAlignment="1" applyProtection="1">
      <alignment horizontal="center" vertical="center"/>
      <protection locked="0"/>
    </xf>
    <xf numFmtId="49" fontId="2" fillId="7" borderId="10" xfId="0" applyNumberFormat="1" applyFont="1" applyFill="1" applyBorder="1" applyAlignment="1" applyProtection="1">
      <alignment horizontal="center" vertical="center"/>
      <protection locked="0"/>
    </xf>
    <xf numFmtId="14" fontId="11" fillId="9" borderId="10" xfId="0" applyNumberFormat="1" applyFont="1" applyFill="1" applyBorder="1" applyAlignment="1" applyProtection="1">
      <alignment horizontal="center" vertical="center"/>
      <protection locked="0"/>
    </xf>
    <xf numFmtId="0" fontId="3" fillId="5" borderId="30" xfId="0" applyFont="1" applyFill="1" applyBorder="1" applyAlignment="1" applyProtection="1">
      <alignment horizontal="center" vertical="center"/>
      <protection locked="0"/>
    </xf>
    <xf numFmtId="0" fontId="3" fillId="5" borderId="31" xfId="0" applyFont="1" applyFill="1" applyBorder="1" applyAlignment="1" applyProtection="1">
      <alignment horizontal="center" vertical="center"/>
      <protection locked="0"/>
    </xf>
    <xf numFmtId="0" fontId="3" fillId="5" borderId="32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49" fontId="2" fillId="7" borderId="14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 hidden="1"/>
    </xf>
    <xf numFmtId="0" fontId="0" fillId="0" borderId="10" xfId="0" applyNumberFormat="1" applyBorder="1" applyAlignment="1">
      <alignment horizontal="center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 wrapText="1" readingOrder="1"/>
    </xf>
    <xf numFmtId="0" fontId="17" fillId="0" borderId="18" xfId="0" applyNumberFormat="1" applyFont="1" applyBorder="1" applyAlignment="1">
      <alignment horizontal="left" vertical="center"/>
    </xf>
    <xf numFmtId="0" fontId="0" fillId="0" borderId="10" xfId="0" applyNumberFormat="1" applyFont="1" applyFill="1" applyBorder="1" applyAlignment="1">
      <alignment horizontal="left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18" xfId="0" applyFont="1" applyBorder="1" applyAlignment="1">
      <alignment horizontal="left" vertical="center"/>
    </xf>
    <xf numFmtId="0" fontId="0" fillId="0" borderId="18" xfId="0" applyNumberFormat="1" applyFont="1" applyBorder="1" applyAlignment="1">
      <alignment horizontal="left" vertical="center"/>
    </xf>
    <xf numFmtId="0" fontId="0" fillId="0" borderId="18" xfId="0" applyNumberFormat="1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 wrapText="1"/>
    </xf>
    <xf numFmtId="0" fontId="0" fillId="0" borderId="17" xfId="0" applyFont="1" applyBorder="1" applyAlignment="1">
      <alignment horizontal="left" vertical="center"/>
    </xf>
    <xf numFmtId="0" fontId="13" fillId="0" borderId="18" xfId="2" applyNumberFormat="1" applyFont="1" applyFill="1" applyBorder="1" applyAlignment="1">
      <alignment horizontal="left" vertical="center"/>
    </xf>
    <xf numFmtId="0" fontId="13" fillId="0" borderId="18" xfId="0" applyNumberFormat="1" applyFont="1" applyBorder="1" applyAlignment="1">
      <alignment horizontal="left" vertical="center"/>
    </xf>
    <xf numFmtId="0" fontId="13" fillId="0" borderId="18" xfId="2" applyNumberFormat="1" applyFont="1" applyBorder="1" applyAlignment="1">
      <alignment horizontal="left" vertical="center"/>
    </xf>
    <xf numFmtId="0" fontId="7" fillId="0" borderId="49" xfId="0" applyFont="1" applyFill="1" applyBorder="1" applyAlignment="1" applyProtection="1">
      <alignment horizontal="center" vertical="center" wrapText="1"/>
    </xf>
    <xf numFmtId="2" fontId="11" fillId="0" borderId="0" xfId="0" applyNumberFormat="1" applyFont="1" applyFill="1" applyBorder="1" applyAlignment="1" applyProtection="1">
      <alignment vertical="center"/>
      <protection locked="0"/>
    </xf>
    <xf numFmtId="2" fontId="11" fillId="0" borderId="0" xfId="0" applyNumberFormat="1" applyFont="1" applyAlignment="1" applyProtection="1">
      <alignment vertical="center"/>
      <protection locked="0"/>
    </xf>
    <xf numFmtId="2" fontId="11" fillId="0" borderId="0" xfId="0" applyNumberFormat="1" applyFont="1" applyBorder="1" applyAlignment="1" applyProtection="1">
      <alignment vertical="center"/>
      <protection locked="0"/>
    </xf>
    <xf numFmtId="0" fontId="0" fillId="0" borderId="18" xfId="0" applyNumberFormat="1" applyBorder="1" applyAlignment="1">
      <alignment horizontal="center" vertical="center"/>
    </xf>
    <xf numFmtId="14" fontId="21" fillId="0" borderId="0" xfId="0" applyNumberFormat="1" applyFont="1" applyAlignment="1" applyProtection="1">
      <alignment horizontal="center" vertical="center"/>
      <protection locked="0"/>
    </xf>
    <xf numFmtId="2" fontId="2" fillId="7" borderId="14" xfId="0" applyNumberFormat="1" applyFont="1" applyFill="1" applyBorder="1" applyAlignment="1" applyProtection="1">
      <alignment horizontal="center" vertical="center"/>
      <protection locked="0"/>
    </xf>
    <xf numFmtId="0" fontId="5" fillId="6" borderId="42" xfId="0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 applyProtection="1">
      <alignment horizontal="center" vertical="center"/>
      <protection locked="0"/>
    </xf>
    <xf numFmtId="0" fontId="5" fillId="6" borderId="36" xfId="0" applyFont="1" applyFill="1" applyBorder="1" applyAlignment="1" applyProtection="1">
      <alignment horizontal="center" vertical="center"/>
      <protection locked="0"/>
    </xf>
    <xf numFmtId="0" fontId="4" fillId="8" borderId="46" xfId="0" applyFont="1" applyFill="1" applyBorder="1" applyAlignment="1" applyProtection="1">
      <alignment horizontal="center" vertical="center"/>
      <protection locked="0"/>
    </xf>
    <xf numFmtId="0" fontId="4" fillId="8" borderId="47" xfId="0" applyFont="1" applyFill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5" fillId="4" borderId="6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7" fillId="7" borderId="43" xfId="0" applyFont="1" applyFill="1" applyBorder="1" applyAlignment="1" applyProtection="1">
      <alignment horizontal="center" vertical="center"/>
      <protection locked="0"/>
    </xf>
    <xf numFmtId="0" fontId="7" fillId="7" borderId="44" xfId="0" applyFont="1" applyFill="1" applyBorder="1" applyAlignment="1" applyProtection="1">
      <alignment horizontal="center" vertical="center"/>
      <protection locked="0"/>
    </xf>
    <xf numFmtId="0" fontId="7" fillId="7" borderId="45" xfId="0" applyFont="1" applyFill="1" applyBorder="1" applyAlignment="1" applyProtection="1">
      <alignment horizontal="center" vertical="center"/>
      <protection locked="0"/>
    </xf>
    <xf numFmtId="0" fontId="12" fillId="7" borderId="34" xfId="0" applyFont="1" applyFill="1" applyBorder="1" applyAlignment="1" applyProtection="1">
      <alignment horizontal="center" vertical="center"/>
      <protection locked="0"/>
    </xf>
    <xf numFmtId="0" fontId="12" fillId="7" borderId="35" xfId="0" applyFont="1" applyFill="1" applyBorder="1" applyAlignment="1" applyProtection="1">
      <alignment horizontal="center" vertical="center"/>
      <protection locked="0"/>
    </xf>
    <xf numFmtId="0" fontId="12" fillId="7" borderId="36" xfId="0" applyFont="1" applyFill="1" applyBorder="1" applyAlignment="1" applyProtection="1">
      <alignment horizontal="center" vertical="center"/>
      <protection locked="0"/>
    </xf>
    <xf numFmtId="0" fontId="20" fillId="8" borderId="37" xfId="0" applyFont="1" applyFill="1" applyBorder="1" applyAlignment="1" applyProtection="1">
      <alignment horizontal="center" vertical="center" wrapText="1"/>
      <protection locked="0"/>
    </xf>
    <xf numFmtId="0" fontId="20" fillId="8" borderId="0" xfId="0" applyFont="1" applyFill="1" applyBorder="1" applyAlignment="1" applyProtection="1">
      <alignment horizontal="center" vertical="center" wrapText="1"/>
      <protection locked="0"/>
    </xf>
    <xf numFmtId="0" fontId="20" fillId="8" borderId="38" xfId="0" applyFont="1" applyFill="1" applyBorder="1" applyAlignment="1" applyProtection="1">
      <alignment horizontal="center" vertical="center" wrapText="1"/>
      <protection locked="0"/>
    </xf>
    <xf numFmtId="0" fontId="20" fillId="8" borderId="39" xfId="0" applyFont="1" applyFill="1" applyBorder="1" applyAlignment="1" applyProtection="1">
      <alignment horizontal="center" vertical="center" wrapText="1"/>
      <protection locked="0"/>
    </xf>
    <xf numFmtId="0" fontId="20" fillId="8" borderId="40" xfId="0" applyFont="1" applyFill="1" applyBorder="1" applyAlignment="1" applyProtection="1">
      <alignment horizontal="center" vertical="center" wrapText="1"/>
      <protection locked="0"/>
    </xf>
    <xf numFmtId="0" fontId="20" fillId="8" borderId="41" xfId="0" applyFont="1" applyFill="1" applyBorder="1" applyAlignment="1" applyProtection="1">
      <alignment horizontal="center" vertical="center" wrapText="1"/>
      <protection locked="0"/>
    </xf>
    <xf numFmtId="0" fontId="14" fillId="4" borderId="6" xfId="0" applyFont="1" applyFill="1" applyBorder="1" applyAlignment="1" applyProtection="1">
      <alignment horizontal="center" vertical="center" wrapText="1"/>
      <protection locked="0"/>
    </xf>
    <xf numFmtId="0" fontId="14" fillId="4" borderId="0" xfId="0" applyFont="1" applyFill="1" applyBorder="1" applyAlignment="1" applyProtection="1">
      <alignment horizontal="center" vertical="center" wrapText="1"/>
      <protection locked="0"/>
    </xf>
    <xf numFmtId="0" fontId="12" fillId="0" borderId="51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5" fillId="6" borderId="25" xfId="0" applyFont="1" applyFill="1" applyBorder="1" applyAlignment="1" applyProtection="1">
      <alignment horizontal="center" vertical="center"/>
      <protection locked="0"/>
    </xf>
    <xf numFmtId="0" fontId="5" fillId="6" borderId="26" xfId="0" applyFont="1" applyFill="1" applyBorder="1" applyAlignment="1" applyProtection="1">
      <alignment horizontal="center" vertical="center"/>
      <protection locked="0"/>
    </xf>
    <xf numFmtId="0" fontId="5" fillId="6" borderId="27" xfId="0" applyFont="1" applyFill="1" applyBorder="1" applyAlignment="1" applyProtection="1">
      <alignment horizontal="center" vertical="center"/>
      <protection locked="0"/>
    </xf>
    <xf numFmtId="0" fontId="4" fillId="8" borderId="10" xfId="0" applyFont="1" applyFill="1" applyBorder="1" applyAlignment="1" applyProtection="1">
      <alignment horizontal="center" vertical="center"/>
      <protection locked="0"/>
    </xf>
    <xf numFmtId="0" fontId="12" fillId="0" borderId="10" xfId="0" applyFont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/>
      <protection locked="0"/>
    </xf>
    <xf numFmtId="0" fontId="12" fillId="0" borderId="20" xfId="0" applyFont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 applyProtection="1">
      <alignment horizontal="center" vertical="center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</cellXfs>
  <cellStyles count="3">
    <cellStyle name="Millares" xfId="2" builtinId="3"/>
    <cellStyle name="Normal" xfId="0" builtinId="0"/>
    <cellStyle name="Normal 2" xfId="1" xr:uid="{AA48E321-9300-45EC-A7C3-206F33A0E42E}"/>
  </cellStyles>
  <dxfs count="120"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left" vertical="center" textRotation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numFmt numFmtId="0" formatCode="General"/>
      <alignment horizontal="center" vertical="center" textRotation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color rgb="FFFF0000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6</xdr:row>
      <xdr:rowOff>66675</xdr:rowOff>
    </xdr:from>
    <xdr:to>
      <xdr:col>5</xdr:col>
      <xdr:colOff>742949</xdr:colOff>
      <xdr:row>8</xdr:row>
      <xdr:rowOff>142875</xdr:rowOff>
    </xdr:to>
    <xdr:pic macro="[0]!BuscarVrequerimiento">
      <xdr:nvPicPr>
        <xdr:cNvPr id="7" name="Imagen 6">
          <a:extLst>
            <a:ext uri="{FF2B5EF4-FFF2-40B4-BE49-F238E27FC236}">
              <a16:creationId xmlns:a16="http://schemas.microsoft.com/office/drawing/2014/main" id="{5A753267-D31D-476A-BF4C-CD8F2A7E2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704850"/>
          <a:ext cx="571499" cy="571499"/>
        </a:xfrm>
        <a:prstGeom prst="rect">
          <a:avLst/>
        </a:prstGeom>
      </xdr:spPr>
    </xdr:pic>
    <xdr:clientData/>
  </xdr:twoCellAnchor>
  <xdr:twoCellAnchor editAs="oneCell">
    <xdr:from>
      <xdr:col>5</xdr:col>
      <xdr:colOff>190501</xdr:colOff>
      <xdr:row>19</xdr:row>
      <xdr:rowOff>95250</xdr:rowOff>
    </xdr:from>
    <xdr:to>
      <xdr:col>5</xdr:col>
      <xdr:colOff>695325</xdr:colOff>
      <xdr:row>21</xdr:row>
      <xdr:rowOff>109007</xdr:rowOff>
    </xdr:to>
    <xdr:pic macro="[0]!guardar_requerimientos">
      <xdr:nvPicPr>
        <xdr:cNvPr id="9" name="Imagen 8">
          <a:extLst>
            <a:ext uri="{FF2B5EF4-FFF2-40B4-BE49-F238E27FC236}">
              <a16:creationId xmlns:a16="http://schemas.microsoft.com/office/drawing/2014/main" id="{611CFC24-A087-4085-A8AB-385950A88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4851" y="4305300"/>
          <a:ext cx="504824" cy="5090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151342</xdr:colOff>
      <xdr:row>6</xdr:row>
      <xdr:rowOff>81795</xdr:rowOff>
    </xdr:from>
    <xdr:to>
      <xdr:col>3</xdr:col>
      <xdr:colOff>722841</xdr:colOff>
      <xdr:row>8</xdr:row>
      <xdr:rowOff>156481</xdr:rowOff>
    </xdr:to>
    <xdr:pic macro="[0]!BuscarVguia">
      <xdr:nvPicPr>
        <xdr:cNvPr id="2" name="Imagen 1">
          <a:extLst>
            <a:ext uri="{FF2B5EF4-FFF2-40B4-BE49-F238E27FC236}">
              <a16:creationId xmlns:a16="http://schemas.microsoft.com/office/drawing/2014/main" id="{E51DD552-D9F8-4FAA-918E-47A0CB405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1759" y="1394128"/>
          <a:ext cx="571499" cy="561520"/>
        </a:xfrm>
        <a:prstGeom prst="rect">
          <a:avLst/>
        </a:prstGeom>
      </xdr:spPr>
    </xdr:pic>
    <xdr:clientData/>
  </xdr:twoCellAnchor>
  <xdr:twoCellAnchor editAs="oneCell">
    <xdr:from>
      <xdr:col>3</xdr:col>
      <xdr:colOff>171451</xdr:colOff>
      <xdr:row>18</xdr:row>
      <xdr:rowOff>180975</xdr:rowOff>
    </xdr:from>
    <xdr:to>
      <xdr:col>3</xdr:col>
      <xdr:colOff>676275</xdr:colOff>
      <xdr:row>20</xdr:row>
      <xdr:rowOff>209549</xdr:rowOff>
    </xdr:to>
    <xdr:pic macro="[0]!guardar_guia">
      <xdr:nvPicPr>
        <xdr:cNvPr id="3" name="Imagen 2">
          <a:extLst>
            <a:ext uri="{FF2B5EF4-FFF2-40B4-BE49-F238E27FC236}">
              <a16:creationId xmlns:a16="http://schemas.microsoft.com/office/drawing/2014/main" id="{EBFC8154-F580-4DDC-B831-B4A458666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1" y="3562350"/>
          <a:ext cx="504824" cy="504824"/>
        </a:xfrm>
        <a:prstGeom prst="rect">
          <a:avLst/>
        </a:prstGeom>
      </xdr:spPr>
    </xdr:pic>
    <xdr:clientData/>
  </xdr:twoCellAnchor>
  <xdr:twoCellAnchor>
    <xdr:from>
      <xdr:col>4</xdr:col>
      <xdr:colOff>695325</xdr:colOff>
      <xdr:row>5</xdr:row>
      <xdr:rowOff>133350</xdr:rowOff>
    </xdr:from>
    <xdr:to>
      <xdr:col>7</xdr:col>
      <xdr:colOff>47625</xdr:colOff>
      <xdr:row>10</xdr:row>
      <xdr:rowOff>114300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202A675C-593C-4453-9AFA-ADCCD3A3EE4F}"/>
            </a:ext>
          </a:extLst>
        </xdr:cNvPr>
        <xdr:cNvSpPr/>
      </xdr:nvSpPr>
      <xdr:spPr>
        <a:xfrm>
          <a:off x="5724525" y="1190625"/>
          <a:ext cx="1409700" cy="723900"/>
        </a:xfrm>
        <a:prstGeom prst="rightArrow">
          <a:avLst/>
        </a:prstGeom>
        <a:solidFill>
          <a:schemeClr val="accent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BCACEB-A2B7-49EB-B967-65F3B4098C9B}" name="tbl_materiales" displayName="tbl_materiales" ref="H24:P25" totalsRowShown="0" headerRowDxfId="119" dataDxfId="117" headerRowBorderDxfId="118" tableBorderDxfId="116">
  <tableColumns count="9">
    <tableColumn id="1" xr3:uid="{57218483-B29F-4C48-A4A3-308BE00DF582}" name="N°" dataDxfId="115">
      <calculatedColumnFormula>ROW(H25)-25</calculatedColumnFormula>
    </tableColumn>
    <tableColumn id="2" xr3:uid="{EB1B0A63-D495-4021-8CC0-95EAD3A111A6}" name="CODIGO" dataDxfId="114"/>
    <tableColumn id="9" xr3:uid="{DBE4E045-E431-4FA0-86EB-19313D916750}" name="N° SERIE" dataDxfId="113"/>
    <tableColumn id="8" xr3:uid="{C41E4221-3213-49F9-936C-2F20D7B14BDC}" name="N° REQUER" dataDxfId="112"/>
    <tableColumn id="3" xr3:uid="{9C934777-B8F1-4ACC-B063-82F74AA48BDB}" name="DESCRIPCIÓN" dataDxfId="111"/>
    <tableColumn id="4" xr3:uid="{B4E84EFB-6CDD-4FEC-B063-C6C282669AD9}" name="UNIDAD" dataDxfId="110"/>
    <tableColumn id="5" xr3:uid="{23488162-338F-408E-B507-CBF5E64B87DD}" name="CANTIDAD REQUERIDA" dataDxfId="109"/>
    <tableColumn id="6" xr3:uid="{12990AA4-F88C-49F3-944C-DA90C52AB0E7}" name="CANTIDAD FALTANTE" dataDxfId="108"/>
    <tableColumn id="7" xr3:uid="{B69FCEDD-AD53-4287-A89D-1A00744437E4}" name="FECHA" dataDxfId="10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F5E839-6C58-4829-8541-319BA638D00B}" name="tbl_unidades" displayName="tbl_unidades" ref="R2:R19" totalsRowShown="0" headerRowDxfId="106" dataDxfId="104" headerRowBorderDxfId="105" tableBorderDxfId="103" totalsRowBorderDxfId="102">
  <autoFilter ref="R2:R19" xr:uid="{92C9D1AB-B3F7-4FB1-B030-7FF22699C080}"/>
  <sortState xmlns:xlrd2="http://schemas.microsoft.com/office/spreadsheetml/2017/richdata2" ref="R3:R19">
    <sortCondition ref="R2:R19"/>
  </sortState>
  <tableColumns count="1">
    <tableColumn id="1" xr3:uid="{AFFD4342-3182-4F6A-A979-B3B22596E46C}" name="UNIDAD DE MEDIDA" dataDxfId="1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5A1E37-D73F-41B3-83D2-79528290A6EB}" name="tbl_guia" displayName="tbl_guia" ref="F26:M27" totalsRowShown="0" headerRowDxfId="100" dataDxfId="98" headerRowBorderDxfId="99" tableBorderDxfId="97">
  <tableColumns count="8">
    <tableColumn id="1" xr3:uid="{557522C9-2E36-4879-81CC-5F0978419327}" name="N°" dataDxfId="96">
      <calculatedColumnFormula>ROW(F27)-27</calculatedColumnFormula>
    </tableColumn>
    <tableColumn id="2" xr3:uid="{11A6687C-5FBA-4869-BEB0-0E45D3B4D57E}" name="CODIGO" dataDxfId="95"/>
    <tableColumn id="8" xr3:uid="{D2D1FEE4-0301-4160-95F7-7E6C41729A03}" name="N° SERIE" dataDxfId="94"/>
    <tableColumn id="9" xr3:uid="{C0B6BF46-E2BE-4672-A9E7-75BA124A09F8}" name="N° REQUER" dataDxfId="93"/>
    <tableColumn id="3" xr3:uid="{8A960F2F-DACC-47DB-A084-1F60EEE335F6}" name="DESCRIPCIÓN" dataDxfId="92"/>
    <tableColumn id="4" xr3:uid="{575E17AD-8B32-4728-B946-E91D686AB906}" name="TIPO DOC" dataDxfId="91"/>
    <tableColumn id="5" xr3:uid="{2E00A5FA-771B-449F-8771-09B6950B8767}" name="FECHA" dataDxfId="90"/>
    <tableColumn id="6" xr3:uid="{C8010AFB-244B-4AF5-AA8D-82F2FA50ACBB}" name="CANTIDAD ENTRANTE" dataDxfId="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B8D7A7-F8E4-4A35-A667-4F32E4ED5629}" name="tbl_materiales2" displayName="tbl_materiales2" ref="A7:G370" totalsRowShown="0" headerRowDxfId="82" headerRowBorderDxfId="81" tableBorderDxfId="80" totalsRowBorderDxfId="79">
  <sortState xmlns:xlrd2="http://schemas.microsoft.com/office/spreadsheetml/2017/richdata2" ref="A8:G370">
    <sortCondition ref="C7:C370"/>
  </sortState>
  <tableColumns count="7">
    <tableColumn id="1" xr3:uid="{9F4E83C9-7AE5-425D-92DE-39B6F34151CF}" name="N°" dataDxfId="78">
      <calculatedColumnFormula>ROW(A8)-7</calculatedColumnFormula>
    </tableColumn>
    <tableColumn id="2" xr3:uid="{4B7A11D6-D44C-4C11-AFF9-6495801116BD}" name="CODIGO" dataDxfId="77"/>
    <tableColumn id="3" xr3:uid="{22E6F6BD-0203-4785-9C7E-624FFCCC126F}" name="DESCRIPCIÓN" dataDxfId="76"/>
    <tableColumn id="4" xr3:uid="{699B3024-249D-4998-93B1-B997FA3D09DB}" name="CANTIDAD REQUERIDA" dataDxfId="75"/>
    <tableColumn id="5" xr3:uid="{13060749-229E-4E3E-9005-EDC80F7B1EFB}" name="CANTIDAD ABASTECIDA" dataDxfId="74"/>
    <tableColumn id="6" xr3:uid="{8876F8E7-E24C-4CB4-9EBB-F694E247E2F1}" name="FALTANTE" dataDxfId="73">
      <calculatedColumnFormula>(tbl_materiales2[[#This Row],[CANTIDAD REQUERIDA]]-tbl_materiales2[[#This Row],[CANTIDAD ABASTECIDA]])</calculatedColumnFormula>
    </tableColumn>
    <tableColumn id="7" xr3:uid="{A520EF98-B299-4E3C-88F5-F29639E15421}" name="OBSERVACIÓN" dataDxfId="7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D8845C-F134-4830-8E51-65534C986FC2}" name="Tabla25" displayName="Tabla25" ref="A4:G52" totalsRowShown="0" headerRowDxfId="70" dataDxfId="68" headerRowBorderDxfId="69" tableBorderDxfId="67" totalsRowBorderDxfId="66">
  <autoFilter ref="A4:G52" xr:uid="{B8132C6B-BA35-49B8-AC8C-74D84419D0ED}"/>
  <sortState xmlns:xlrd2="http://schemas.microsoft.com/office/spreadsheetml/2017/richdata2" ref="A5:G52">
    <sortCondition ref="C4:C52"/>
  </sortState>
  <tableColumns count="7">
    <tableColumn id="1" xr3:uid="{7B3E538C-03DD-41D0-9712-6B45D98C756B}" name="N°" dataDxfId="65">
      <calculatedColumnFormula>ROW(A5)-4</calculatedColumnFormula>
    </tableColumn>
    <tableColumn id="2" xr3:uid="{9842E0E4-86AA-46AF-A312-AF11F6F19CF8}" name="CODIGO" dataDxfId="64"/>
    <tableColumn id="3" xr3:uid="{48F10A55-F3B4-455F-9AF2-6C71BD0A34B2}" name="DESCRIPCIÓN" dataDxfId="63"/>
    <tableColumn id="4" xr3:uid="{2BE7D000-0BEF-4335-8600-5E47DB1E30E2}" name="CANTIDAD REQUERIDA" dataDxfId="62"/>
    <tableColumn id="6" xr3:uid="{23B15D50-648A-41F2-AAF1-ABB3F5F94513}" name="CANTIDAD ABASTECIDA" dataDxfId="61"/>
    <tableColumn id="5" xr3:uid="{F96288D8-E15F-4317-B8BF-7D0BBFDFFE96}" name="CANTIDAD FALTANTE" dataDxfId="60">
      <calculatedColumnFormula>Tabla25[[#This Row],[CANTIDAD REQUERIDA]]-Tabla25[[#This Row],[CANTIDAD ABASTECIDA]]</calculatedColumnFormula>
    </tableColumn>
    <tableColumn id="7" xr3:uid="{6522D430-0B4C-40B4-9274-3F5D840A19CB}" name="OBSERVACIONES" dataDxfId="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3A1898-A3EB-4A20-8561-65C282740E20}" name="Tabla256" displayName="Tabla256" ref="A4:G55" totalsRowShown="0" headerRowDxfId="56" dataDxfId="54" headerRowBorderDxfId="55" tableBorderDxfId="53" totalsRowBorderDxfId="52">
  <autoFilter ref="A4:G55" xr:uid="{B8132C6B-BA35-49B8-AC8C-74D84419D0ED}"/>
  <sortState xmlns:xlrd2="http://schemas.microsoft.com/office/spreadsheetml/2017/richdata2" ref="A5:G55">
    <sortCondition ref="C4:C55"/>
  </sortState>
  <tableColumns count="7">
    <tableColumn id="1" xr3:uid="{B901FE51-91E5-4252-9A6D-4A428E998BF4}" name="N°" dataDxfId="51">
      <calculatedColumnFormula>ROW(A5)-4</calculatedColumnFormula>
    </tableColumn>
    <tableColumn id="2" xr3:uid="{C84040EF-3A18-46DC-8822-0E6137386818}" name="CODIGO" dataDxfId="50"/>
    <tableColumn id="3" xr3:uid="{81C41693-3AE8-44BB-9F78-7D3EED02DA73}" name="DESCRIPCIÓN" dataDxfId="49"/>
    <tableColumn id="4" xr3:uid="{585BBFC4-BBF3-4089-AD74-524EE9994C90}" name="CANTIDAD REQUERIDA" dataDxfId="48"/>
    <tableColumn id="5" xr3:uid="{3BB99B66-A4EC-4851-8DFD-7CCA6F551707}" name="CANTIDAD ABASTECIDA" dataDxfId="47"/>
    <tableColumn id="6" xr3:uid="{A427B945-275A-41AC-9125-C0D93B44F410}" name="FALTANTE" dataDxfId="46">
      <calculatedColumnFormula>(Tabla256[[#This Row],[CANTIDAD REQUERIDA]]-Tabla256[[#This Row],[CANTIDAD ABASTECIDA]])</calculatedColumnFormula>
    </tableColumn>
    <tableColumn id="7" xr3:uid="{6CB88E00-9AA2-4E29-B343-E42848938DF6}" name="OBSERVACIONES" dataDxfId="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956303-F5EB-4174-A38F-C42173F0EF1F}" name="Tabla2567" displayName="Tabla2567" ref="A4:G92" totalsRowShown="0" headerRowDxfId="42" dataDxfId="40" headerRowBorderDxfId="41" tableBorderDxfId="39" totalsRowBorderDxfId="38">
  <autoFilter ref="A4:G92" xr:uid="{B8132C6B-BA35-49B8-AC8C-74D84419D0ED}"/>
  <sortState xmlns:xlrd2="http://schemas.microsoft.com/office/spreadsheetml/2017/richdata2" ref="A5:G92">
    <sortCondition ref="C4:C92"/>
  </sortState>
  <tableColumns count="7">
    <tableColumn id="1" xr3:uid="{F65E6FC1-04A2-4C54-8F1E-41B9109B3A05}" name="N°" dataDxfId="37">
      <calculatedColumnFormula>ROW(A5)-4</calculatedColumnFormula>
    </tableColumn>
    <tableColumn id="2" xr3:uid="{D0FA4878-A2C4-4996-8018-70CDD3F9D39F}" name="CODIGO" dataDxfId="36"/>
    <tableColumn id="3" xr3:uid="{C78E5F62-694F-44A2-9311-3632EDF35D48}" name="DESCRIPCIÓN" dataDxfId="35"/>
    <tableColumn id="4" xr3:uid="{5E2135CC-DDD1-4E50-B8E4-6E9E9D111A6C}" name="CANTIDAD REQUERIDA" dataDxfId="34"/>
    <tableColumn id="5" xr3:uid="{B59B17B1-9F61-422A-B7E7-7D42145DDF56}" name="CANTIDAD ABASTECIDA" dataDxfId="33"/>
    <tableColumn id="6" xr3:uid="{C4958A60-2B64-4C79-BE81-7757A0FECB17}" name="FALTANTE" dataDxfId="32">
      <calculatedColumnFormula>(Tabla2567[[#This Row],[CANTIDAD REQUERIDA]]-Tabla2567[[#This Row],[CANTIDAD ABASTECIDA]])</calculatedColumnFormula>
    </tableColumn>
    <tableColumn id="7" xr3:uid="{B2C08358-9FC9-4D4A-B085-029749CA2304}" name="OBSERVACIONES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8B68BB-9A18-4574-BEF6-88D143434602}" name="Tabla25672" displayName="Tabla25672" ref="A4:G76" totalsRowShown="0" headerRowDxfId="26" dataDxfId="24" headerRowBorderDxfId="25" tableBorderDxfId="23" totalsRowBorderDxfId="22">
  <autoFilter ref="A4:G76" xr:uid="{B8132C6B-BA35-49B8-AC8C-74D84419D0ED}"/>
  <sortState xmlns:xlrd2="http://schemas.microsoft.com/office/spreadsheetml/2017/richdata2" ref="A5:G76">
    <sortCondition ref="C4:C76"/>
  </sortState>
  <tableColumns count="7">
    <tableColumn id="1" xr3:uid="{23902D54-93D4-4460-9AB4-BA86F8FB06AE}" name="N°" dataDxfId="21">
      <calculatedColumnFormula>ROW(A5)-4</calculatedColumnFormula>
    </tableColumn>
    <tableColumn id="2" xr3:uid="{EEFD4937-749C-4843-A2AF-EF6348DF9E66}" name="CODIGO" dataDxfId="20"/>
    <tableColumn id="3" xr3:uid="{2BB33583-E09D-4A10-8BE4-33360BA82DD4}" name="DESCRIPCIÓN" dataDxfId="19"/>
    <tableColumn id="4" xr3:uid="{8F589857-30E0-4B40-AC98-5DE5706E2940}" name="CANTIDAD REQUERIDA" dataDxfId="18"/>
    <tableColumn id="5" xr3:uid="{77C42A63-F5B2-40AC-ADB0-B5321FE6434B}" name="CANTIDAD ABASTECIDA" dataDxfId="17"/>
    <tableColumn id="6" xr3:uid="{30502763-622F-4249-9A6A-924D40CC408E}" name="FALTANTE" dataDxfId="16">
      <calculatedColumnFormula>(Tabla25672[[#This Row],[CANTIDAD REQUERIDA]]-Tabla25672[[#This Row],[CANTIDAD ABASTECIDA]])</calculatedColumnFormula>
    </tableColumn>
    <tableColumn id="7" xr3:uid="{4983B9ED-BF6C-4DA2-8D20-BF35B8159B5E}" name="OBSERVACIONES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8E0EC-CA49-44DA-A08E-DAC6D55713CF}" name="Tabla256724" displayName="Tabla256724" ref="A4:G77" totalsRowShown="0" headerRowDxfId="11" dataDxfId="9" headerRowBorderDxfId="10" tableBorderDxfId="8" totalsRowBorderDxfId="7">
  <autoFilter ref="A4:G77" xr:uid="{B8132C6B-BA35-49B8-AC8C-74D84419D0ED}"/>
  <sortState xmlns:xlrd2="http://schemas.microsoft.com/office/spreadsheetml/2017/richdata2" ref="A5:G77">
    <sortCondition ref="C4:C77"/>
  </sortState>
  <tableColumns count="7">
    <tableColumn id="1" xr3:uid="{FE2F3036-E492-4086-B8A3-F0AA1522ECDC}" name="N°" dataDxfId="6">
      <calculatedColumnFormula>ROW(A5)-4</calculatedColumnFormula>
    </tableColumn>
    <tableColumn id="2" xr3:uid="{9DA5B549-0A04-49D8-B2CA-73BE8EE470B9}" name="CODIGO" dataDxfId="5"/>
    <tableColumn id="3" xr3:uid="{1810DF91-F949-49C1-86C6-3D152EEFF66F}" name="DESCRIPCIÓN" dataDxfId="4"/>
    <tableColumn id="4" xr3:uid="{0247D5FF-44D3-4E10-8CD1-CE952287CB52}" name="CANTIDAD REQUERIDA" dataDxfId="3"/>
    <tableColumn id="5" xr3:uid="{7EC138A5-C6A7-4370-89C7-7EEF2B0324D2}" name="CANTIDAD ABASTECIDA" dataDxfId="2"/>
    <tableColumn id="6" xr3:uid="{C591C677-64B5-4AFD-AEA7-AF55B9E312B5}" name="FALTANTE" dataDxfId="1">
      <calculatedColumnFormula>(Tabla256724[[#This Row],[CANTIDAD REQUERIDA]]-Tabla256724[[#This Row],[CANTIDAD ABASTECIDA]])</calculatedColumnFormula>
    </tableColumn>
    <tableColumn id="7" xr3:uid="{8885497E-3279-43BA-923F-7B6127C169F1}" name="OBSERVACION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5421C-553F-453D-9FFC-C7235F3EEAC6}">
  <sheetPr codeName="Hoja1">
    <tabColor rgb="FFFF0000"/>
  </sheetPr>
  <dimension ref="B1:R25"/>
  <sheetViews>
    <sheetView zoomScale="73" zoomScaleNormal="73" workbookViewId="0">
      <selection activeCell="E6" sqref="E6"/>
    </sheetView>
  </sheetViews>
  <sheetFormatPr baseColWidth="10" defaultColWidth="11.44140625" defaultRowHeight="14.4" x14ac:dyDescent="0.3"/>
  <cols>
    <col min="1" max="1" width="5.88671875" style="58" customWidth="1"/>
    <col min="2" max="2" width="4" style="58" customWidth="1"/>
    <col min="3" max="3" width="18.44140625" style="58" bestFit="1" customWidth="1"/>
    <col min="4" max="4" width="3.44140625" style="58" customWidth="1"/>
    <col min="5" max="5" width="40.6640625" style="58" customWidth="1"/>
    <col min="6" max="6" width="12.6640625" style="58" customWidth="1"/>
    <col min="7" max="7" width="11.44140625" style="58"/>
    <col min="8" max="8" width="8.6640625" style="58" customWidth="1"/>
    <col min="9" max="9" width="10.6640625" style="58" customWidth="1"/>
    <col min="10" max="10" width="10.6640625" style="59" customWidth="1"/>
    <col min="11" max="11" width="15.6640625" style="59" customWidth="1"/>
    <col min="12" max="12" width="67.6640625" style="60" customWidth="1"/>
    <col min="13" max="13" width="20.6640625" style="58" customWidth="1"/>
    <col min="14" max="14" width="20.5546875" style="61" bestFit="1" customWidth="1"/>
    <col min="15" max="16" width="18.6640625" style="62" customWidth="1"/>
    <col min="17" max="18" width="19.44140625" style="58" bestFit="1" customWidth="1"/>
    <col min="19" max="16384" width="11.44140625" style="58"/>
  </cols>
  <sheetData>
    <row r="1" spans="2:18" ht="15" thickBot="1" x14ac:dyDescent="0.35"/>
    <row r="2" spans="2:18" ht="24" thickBot="1" x14ac:dyDescent="0.35">
      <c r="B2" s="186" t="s">
        <v>141</v>
      </c>
      <c r="C2" s="187"/>
      <c r="D2" s="188"/>
      <c r="E2" s="178"/>
      <c r="F2" s="179"/>
      <c r="I2" s="189" t="s">
        <v>197</v>
      </c>
      <c r="J2" s="190"/>
      <c r="K2" s="190"/>
      <c r="L2" s="190"/>
      <c r="M2" s="190"/>
      <c r="N2" s="191"/>
      <c r="R2" s="63" t="s">
        <v>175</v>
      </c>
    </row>
    <row r="3" spans="2:18" ht="15" thickBot="1" x14ac:dyDescent="0.35">
      <c r="I3" s="192"/>
      <c r="J3" s="193"/>
      <c r="K3" s="193"/>
      <c r="L3" s="193"/>
      <c r="M3" s="193"/>
      <c r="N3" s="194"/>
      <c r="R3" s="64" t="s">
        <v>178</v>
      </c>
    </row>
    <row r="4" spans="2:18" ht="18" x14ac:dyDescent="0.3">
      <c r="B4" s="181" t="s">
        <v>204</v>
      </c>
      <c r="C4" s="182"/>
      <c r="D4" s="182"/>
      <c r="E4" s="182"/>
      <c r="F4" s="183"/>
      <c r="G4" s="65"/>
      <c r="I4" s="192"/>
      <c r="J4" s="193"/>
      <c r="K4" s="193"/>
      <c r="L4" s="193"/>
      <c r="M4" s="193"/>
      <c r="N4" s="194"/>
      <c r="R4" s="64" t="s">
        <v>179</v>
      </c>
    </row>
    <row r="5" spans="2:18" ht="18.600000000000001" thickBot="1" x14ac:dyDescent="0.35">
      <c r="B5" s="66"/>
      <c r="C5" s="67"/>
      <c r="D5" s="67"/>
      <c r="E5" s="67"/>
      <c r="F5" s="68"/>
      <c r="G5" s="65"/>
      <c r="I5" s="192"/>
      <c r="J5" s="193"/>
      <c r="K5" s="193"/>
      <c r="L5" s="193"/>
      <c r="M5" s="193"/>
      <c r="N5" s="194"/>
      <c r="R5" s="64" t="s">
        <v>180</v>
      </c>
    </row>
    <row r="6" spans="2:18" ht="30" customHeight="1" thickBot="1" x14ac:dyDescent="0.35">
      <c r="B6" s="198" t="s">
        <v>757</v>
      </c>
      <c r="C6" s="199"/>
      <c r="D6" s="67"/>
      <c r="E6" s="69" t="s">
        <v>1454</v>
      </c>
      <c r="F6" s="68"/>
      <c r="G6" s="65"/>
      <c r="I6" s="192"/>
      <c r="J6" s="193"/>
      <c r="K6" s="193"/>
      <c r="L6" s="193"/>
      <c r="M6" s="193"/>
      <c r="N6" s="194"/>
      <c r="R6" s="64" t="s">
        <v>181</v>
      </c>
    </row>
    <row r="7" spans="2:18" ht="20.100000000000001" customHeight="1" thickBot="1" x14ac:dyDescent="0.35">
      <c r="B7" s="66"/>
      <c r="C7" s="67"/>
      <c r="D7" s="67"/>
      <c r="E7" s="67"/>
      <c r="F7" s="68"/>
      <c r="I7" s="192"/>
      <c r="J7" s="193"/>
      <c r="K7" s="193"/>
      <c r="L7" s="193"/>
      <c r="M7" s="193"/>
      <c r="N7" s="194"/>
      <c r="R7" s="64" t="s">
        <v>182</v>
      </c>
    </row>
    <row r="8" spans="2:18" ht="20.100000000000001" customHeight="1" thickBot="1" x14ac:dyDescent="0.35">
      <c r="B8" s="184" t="s">
        <v>1</v>
      </c>
      <c r="C8" s="185"/>
      <c r="D8" s="70"/>
      <c r="E8" s="153"/>
      <c r="F8" s="68"/>
      <c r="I8" s="192"/>
      <c r="J8" s="193"/>
      <c r="K8" s="193"/>
      <c r="L8" s="193"/>
      <c r="M8" s="193"/>
      <c r="N8" s="194"/>
      <c r="R8" s="64" t="s">
        <v>183</v>
      </c>
    </row>
    <row r="9" spans="2:18" ht="15" customHeight="1" thickBot="1" x14ac:dyDescent="0.35">
      <c r="B9" s="72"/>
      <c r="C9" s="73"/>
      <c r="D9" s="73"/>
      <c r="E9" s="73"/>
      <c r="F9" s="74"/>
      <c r="I9" s="192"/>
      <c r="J9" s="193"/>
      <c r="K9" s="193"/>
      <c r="L9" s="193"/>
      <c r="M9" s="193"/>
      <c r="N9" s="194"/>
      <c r="R9" s="64" t="s">
        <v>1439</v>
      </c>
    </row>
    <row r="10" spans="2:18" ht="15" customHeight="1" thickBot="1" x14ac:dyDescent="0.35">
      <c r="C10" s="75"/>
      <c r="D10" s="75"/>
      <c r="E10" s="75"/>
      <c r="F10" s="76"/>
      <c r="I10" s="192"/>
      <c r="J10" s="193"/>
      <c r="K10" s="193"/>
      <c r="L10" s="193"/>
      <c r="M10" s="193"/>
      <c r="N10" s="194"/>
      <c r="R10" s="64" t="s">
        <v>176</v>
      </c>
    </row>
    <row r="11" spans="2:18" ht="19.5" customHeight="1" x14ac:dyDescent="0.3">
      <c r="B11" s="77"/>
      <c r="C11" s="175" t="s">
        <v>205</v>
      </c>
      <c r="D11" s="176"/>
      <c r="E11" s="176"/>
      <c r="F11" s="177"/>
      <c r="H11" s="78"/>
      <c r="I11" s="192"/>
      <c r="J11" s="193"/>
      <c r="K11" s="193"/>
      <c r="L11" s="193"/>
      <c r="M11" s="193"/>
      <c r="N11" s="194"/>
      <c r="O11" s="169"/>
      <c r="P11" s="79"/>
      <c r="R11" s="64" t="s">
        <v>177</v>
      </c>
    </row>
    <row r="12" spans="2:18" ht="19.5" customHeight="1" thickBot="1" x14ac:dyDescent="0.35">
      <c r="B12" s="80"/>
      <c r="C12" s="81"/>
      <c r="D12" s="81"/>
      <c r="E12" s="81"/>
      <c r="F12" s="82"/>
      <c r="H12" s="78"/>
      <c r="I12" s="192"/>
      <c r="J12" s="193"/>
      <c r="K12" s="193"/>
      <c r="L12" s="193"/>
      <c r="M12" s="193"/>
      <c r="N12" s="194"/>
      <c r="O12" s="169"/>
      <c r="P12" s="79"/>
      <c r="R12" s="64" t="s">
        <v>189</v>
      </c>
    </row>
    <row r="13" spans="2:18" ht="26.4" thickBot="1" x14ac:dyDescent="0.35">
      <c r="B13" s="80"/>
      <c r="C13" s="83" t="s">
        <v>758</v>
      </c>
      <c r="D13" s="84"/>
      <c r="E13" s="85"/>
      <c r="F13" s="82"/>
      <c r="H13" s="78"/>
      <c r="I13" s="192"/>
      <c r="J13" s="193"/>
      <c r="K13" s="193"/>
      <c r="L13" s="193"/>
      <c r="M13" s="193"/>
      <c r="N13" s="194"/>
      <c r="O13" s="169"/>
      <c r="P13" s="79"/>
      <c r="R13" s="64" t="s">
        <v>680</v>
      </c>
    </row>
    <row r="14" spans="2:18" ht="11.25" customHeight="1" x14ac:dyDescent="0.3">
      <c r="B14" s="80"/>
      <c r="C14" s="84"/>
      <c r="D14" s="84"/>
      <c r="E14" s="84"/>
      <c r="F14" s="82"/>
      <c r="H14" s="78"/>
      <c r="I14" s="192"/>
      <c r="J14" s="193"/>
      <c r="K14" s="193"/>
      <c r="L14" s="193"/>
      <c r="M14" s="193"/>
      <c r="N14" s="194"/>
      <c r="O14" s="169"/>
      <c r="P14" s="79"/>
      <c r="R14" s="64" t="s">
        <v>270</v>
      </c>
    </row>
    <row r="15" spans="2:18" ht="19.5" customHeight="1" x14ac:dyDescent="0.3">
      <c r="B15" s="80"/>
      <c r="C15" s="86" t="s">
        <v>198</v>
      </c>
      <c r="D15" s="86"/>
      <c r="E15" s="86" t="s">
        <v>200</v>
      </c>
      <c r="F15" s="82"/>
      <c r="H15" s="78"/>
      <c r="I15" s="192"/>
      <c r="J15" s="193"/>
      <c r="K15" s="193"/>
      <c r="L15" s="193"/>
      <c r="M15" s="193"/>
      <c r="N15" s="194"/>
      <c r="O15" s="169"/>
      <c r="P15" s="79"/>
      <c r="R15" s="64" t="s">
        <v>185</v>
      </c>
    </row>
    <row r="16" spans="2:18" ht="7.5" customHeight="1" thickBot="1" x14ac:dyDescent="0.35">
      <c r="B16" s="80"/>
      <c r="C16" s="81"/>
      <c r="D16" s="81"/>
      <c r="E16" s="81"/>
      <c r="F16" s="87"/>
      <c r="H16" s="78"/>
      <c r="I16" s="192"/>
      <c r="J16" s="193"/>
      <c r="K16" s="193"/>
      <c r="L16" s="193"/>
      <c r="M16" s="193"/>
      <c r="N16" s="194"/>
      <c r="O16" s="169"/>
      <c r="P16" s="79"/>
      <c r="R16" s="88" t="s">
        <v>186</v>
      </c>
    </row>
    <row r="17" spans="2:18" ht="24" customHeight="1" thickBot="1" x14ac:dyDescent="0.35">
      <c r="B17" s="80"/>
      <c r="C17" s="89" t="s">
        <v>1139</v>
      </c>
      <c r="D17" s="86" t="s">
        <v>199</v>
      </c>
      <c r="E17" s="89" t="s">
        <v>1139</v>
      </c>
      <c r="F17" s="87"/>
      <c r="H17" s="90"/>
      <c r="I17" s="195"/>
      <c r="J17" s="196"/>
      <c r="K17" s="196"/>
      <c r="L17" s="196"/>
      <c r="M17" s="196"/>
      <c r="N17" s="197"/>
      <c r="O17" s="91"/>
      <c r="P17" s="91"/>
      <c r="R17" s="88" t="s">
        <v>184</v>
      </c>
    </row>
    <row r="18" spans="2:18" ht="18.600000000000001" thickBot="1" x14ac:dyDescent="0.35">
      <c r="B18" s="80"/>
      <c r="C18" s="83"/>
      <c r="D18" s="83"/>
      <c r="E18" s="92"/>
      <c r="F18" s="87"/>
      <c r="M18" s="90"/>
      <c r="N18" s="93"/>
      <c r="O18" s="91"/>
      <c r="P18" s="91"/>
      <c r="R18" s="88" t="s">
        <v>187</v>
      </c>
    </row>
    <row r="19" spans="2:18" ht="24" thickBot="1" x14ac:dyDescent="0.35">
      <c r="B19" s="80"/>
      <c r="C19" s="83" t="s">
        <v>2</v>
      </c>
      <c r="D19" s="83"/>
      <c r="E19" s="71"/>
      <c r="F19" s="87"/>
      <c r="H19" s="94"/>
      <c r="I19" s="180" t="s">
        <v>191</v>
      </c>
      <c r="J19" s="180"/>
      <c r="K19" s="180"/>
      <c r="L19" s="180"/>
      <c r="M19" s="180"/>
      <c r="N19" s="180"/>
      <c r="O19" s="95"/>
      <c r="P19" s="95"/>
      <c r="R19" s="88" t="s">
        <v>188</v>
      </c>
    </row>
    <row r="20" spans="2:18" ht="18.600000000000001" thickBot="1" x14ac:dyDescent="0.35">
      <c r="B20" s="80"/>
      <c r="C20" s="83"/>
      <c r="D20" s="83"/>
      <c r="E20" s="92"/>
      <c r="F20" s="87"/>
      <c r="H20" s="90"/>
      <c r="I20" s="96" t="s">
        <v>0</v>
      </c>
      <c r="J20" s="97" t="s">
        <v>198</v>
      </c>
      <c r="K20" s="97" t="s">
        <v>201</v>
      </c>
      <c r="L20" s="96" t="s">
        <v>759</v>
      </c>
      <c r="M20" s="96" t="s">
        <v>140</v>
      </c>
      <c r="N20" s="98" t="s">
        <v>145</v>
      </c>
    </row>
    <row r="21" spans="2:18" ht="19.5" customHeight="1" thickBot="1" x14ac:dyDescent="0.35">
      <c r="B21" s="80"/>
      <c r="C21" s="83" t="s">
        <v>3</v>
      </c>
      <c r="D21" s="83"/>
      <c r="E21" s="99"/>
      <c r="F21" s="87"/>
      <c r="H21" s="100"/>
      <c r="I21" s="101"/>
      <c r="J21" s="102"/>
      <c r="K21" s="102"/>
      <c r="L21" s="102"/>
      <c r="M21" s="101"/>
      <c r="N21" s="103"/>
      <c r="O21" s="170"/>
      <c r="P21" s="104"/>
    </row>
    <row r="22" spans="2:18" ht="19.5" customHeight="1" thickBot="1" x14ac:dyDescent="0.35">
      <c r="B22" s="105"/>
      <c r="C22" s="106"/>
      <c r="D22" s="106"/>
      <c r="E22" s="106"/>
      <c r="F22" s="107"/>
      <c r="H22" s="108"/>
      <c r="I22" s="108"/>
      <c r="J22" s="109"/>
      <c r="K22" s="109"/>
      <c r="L22" s="110"/>
      <c r="M22" s="108"/>
      <c r="N22" s="111"/>
      <c r="O22" s="171"/>
      <c r="P22" s="111"/>
    </row>
    <row r="23" spans="2:18" ht="39.9" customHeight="1" x14ac:dyDescent="0.3">
      <c r="H23" s="200" t="s">
        <v>1146</v>
      </c>
      <c r="I23" s="201"/>
      <c r="J23" s="201"/>
      <c r="K23" s="201"/>
      <c r="L23" s="201"/>
      <c r="M23" s="201"/>
      <c r="N23" s="201"/>
      <c r="O23" s="201"/>
      <c r="P23" s="201"/>
    </row>
    <row r="24" spans="2:18" ht="35.1" customHeight="1" x14ac:dyDescent="0.3">
      <c r="H24" s="112" t="s">
        <v>4</v>
      </c>
      <c r="I24" s="112" t="s">
        <v>0</v>
      </c>
      <c r="J24" s="113" t="s">
        <v>198</v>
      </c>
      <c r="K24" s="113" t="s">
        <v>201</v>
      </c>
      <c r="L24" s="112" t="s">
        <v>759</v>
      </c>
      <c r="M24" s="112" t="s">
        <v>140</v>
      </c>
      <c r="N24" s="114" t="s">
        <v>144</v>
      </c>
      <c r="O24" s="114" t="s">
        <v>145</v>
      </c>
      <c r="P24" s="174" t="s">
        <v>142</v>
      </c>
    </row>
    <row r="25" spans="2:18" x14ac:dyDescent="0.3">
      <c r="H25" s="58">
        <f t="shared" ref="H25" si="0">ROW(H25)-25</f>
        <v>0</v>
      </c>
    </row>
  </sheetData>
  <sheetProtection pivotTables="0"/>
  <mergeCells count="10">
    <mergeCell ref="H23:P23"/>
    <mergeCell ref="C11:F11"/>
    <mergeCell ref="E2:F2"/>
    <mergeCell ref="I19:N19"/>
    <mergeCell ref="B4:F4"/>
    <mergeCell ref="B8:C8"/>
    <mergeCell ref="B2:D2"/>
    <mergeCell ref="I2:N2"/>
    <mergeCell ref="I3:N17"/>
    <mergeCell ref="B6:C6"/>
  </mergeCells>
  <dataValidations count="4">
    <dataValidation type="list" allowBlank="1" showInputMessage="1" showErrorMessage="1" errorTitle="Entrada no válida" error="¡Seleccione una opción de la lista!" sqref="E6" xr:uid="{2762A0FC-38BD-4D0C-BF66-2AFE3E2DAE30}">
      <formula1>"EPP,EQUIPOS,HERRAMIENTAS,MATERIALES,ÚTILES,OTROS"</formula1>
    </dataValidation>
    <dataValidation errorStyle="information" allowBlank="1" showInputMessage="1" showErrorMessage="1" sqref="E8" xr:uid="{D9EC577E-70F1-4EB7-B422-05B16E79C2C6}"/>
    <dataValidation type="decimal" allowBlank="1" showInputMessage="1" showErrorMessage="1" sqref="E21" xr:uid="{7A60A58A-7939-4745-BBC7-B6146EA10351}">
      <formula1>0</formula1>
      <formula2>10000000</formula2>
    </dataValidation>
    <dataValidation type="list" allowBlank="1" showInputMessage="1" showErrorMessage="1" errorTitle="Entrada no válida" error="¡Seleccione una opción de la lista!" sqref="E19" xr:uid="{C87AB892-9433-4367-B589-80E67695D54C}">
      <formula1>$R$3:$R$19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E63E7-1639-4773-A8FC-495539AB6E87}">
  <sheetPr codeName="Hoja2">
    <tabColor rgb="FFFFC000"/>
  </sheetPr>
  <dimension ref="B2:M27"/>
  <sheetViews>
    <sheetView zoomScale="85" zoomScaleNormal="85" workbookViewId="0">
      <selection activeCell="F12" sqref="F12"/>
    </sheetView>
  </sheetViews>
  <sheetFormatPr baseColWidth="10" defaultColWidth="11.44140625" defaultRowHeight="14.4" x14ac:dyDescent="0.3"/>
  <cols>
    <col min="1" max="1" width="5.5546875" style="58" customWidth="1"/>
    <col min="2" max="2" width="24.44140625" style="58" customWidth="1"/>
    <col min="3" max="3" width="32.6640625" style="58" customWidth="1"/>
    <col min="4" max="4" width="12.6640625" style="58" customWidth="1"/>
    <col min="5" max="5" width="11.44140625" style="58"/>
    <col min="6" max="6" width="8.6640625" style="58" customWidth="1"/>
    <col min="7" max="7" width="10.6640625" style="58" customWidth="1"/>
    <col min="8" max="8" width="10.6640625" style="59" customWidth="1"/>
    <col min="9" max="9" width="15.6640625" style="59" customWidth="1"/>
    <col min="10" max="10" width="98.33203125" style="60" bestFit="1" customWidth="1"/>
    <col min="11" max="12" width="15.6640625" style="58" customWidth="1"/>
    <col min="13" max="13" width="18.6640625" style="61" customWidth="1"/>
    <col min="14" max="16384" width="11.44140625" style="58"/>
  </cols>
  <sheetData>
    <row r="2" spans="2:13" ht="18" x14ac:dyDescent="0.3">
      <c r="B2" s="115" t="s">
        <v>141</v>
      </c>
      <c r="C2" s="205"/>
      <c r="D2" s="205"/>
    </row>
    <row r="3" spans="2:13" ht="15" thickBot="1" x14ac:dyDescent="0.35"/>
    <row r="4" spans="2:13" ht="18" x14ac:dyDescent="0.3">
      <c r="B4" s="181" t="s">
        <v>762</v>
      </c>
      <c r="C4" s="182"/>
      <c r="D4" s="183"/>
      <c r="E4" s="116"/>
      <c r="F4" s="116"/>
      <c r="G4" s="100"/>
      <c r="H4" s="117"/>
      <c r="I4" s="117"/>
    </row>
    <row r="5" spans="2:13" ht="15" customHeight="1" thickBot="1" x14ac:dyDescent="0.35">
      <c r="B5" s="66"/>
      <c r="C5" s="67"/>
      <c r="D5" s="68"/>
      <c r="E5" s="76"/>
      <c r="F5" s="76"/>
      <c r="G5" s="76"/>
      <c r="H5" s="118"/>
      <c r="I5" s="118"/>
    </row>
    <row r="6" spans="2:13" ht="18.600000000000001" thickBot="1" x14ac:dyDescent="0.35">
      <c r="B6" s="119" t="s">
        <v>760</v>
      </c>
      <c r="C6" s="120" t="s">
        <v>1139</v>
      </c>
      <c r="D6" s="68"/>
      <c r="E6" s="121" t="s">
        <v>758</v>
      </c>
      <c r="F6" s="76"/>
      <c r="G6" s="76"/>
      <c r="H6" s="118"/>
      <c r="I6" s="122"/>
      <c r="J6" s="123"/>
      <c r="K6" s="124"/>
    </row>
    <row r="7" spans="2:13" ht="18.600000000000001" thickBot="1" x14ac:dyDescent="0.35">
      <c r="B7" s="66"/>
      <c r="C7" s="67"/>
      <c r="D7" s="68"/>
      <c r="E7" s="76"/>
      <c r="F7" s="76"/>
      <c r="G7" s="76"/>
      <c r="H7" s="118"/>
      <c r="I7" s="125"/>
      <c r="J7" s="126" t="s">
        <v>763</v>
      </c>
      <c r="K7" s="68"/>
      <c r="L7" s="127"/>
      <c r="M7" s="93"/>
    </row>
    <row r="8" spans="2:13" ht="18.600000000000001" thickBot="1" x14ac:dyDescent="0.35">
      <c r="B8" s="128" t="s">
        <v>761</v>
      </c>
      <c r="C8" s="120" t="s">
        <v>1139</v>
      </c>
      <c r="D8" s="68"/>
      <c r="E8" s="129"/>
      <c r="F8" s="129"/>
      <c r="G8" s="129"/>
      <c r="H8" s="130"/>
      <c r="I8" s="125"/>
      <c r="J8" s="168"/>
      <c r="K8" s="68"/>
    </row>
    <row r="9" spans="2:13" ht="18.600000000000001" thickBot="1" x14ac:dyDescent="0.35">
      <c r="B9" s="128"/>
      <c r="C9" s="67"/>
      <c r="D9" s="68"/>
      <c r="E9" s="129"/>
      <c r="F9" s="129"/>
      <c r="G9" s="129"/>
      <c r="H9" s="130"/>
      <c r="I9" s="125"/>
      <c r="J9" s="131"/>
      <c r="K9" s="68"/>
    </row>
    <row r="10" spans="2:13" ht="18.600000000000001" thickBot="1" x14ac:dyDescent="0.35">
      <c r="B10" s="128" t="s">
        <v>764</v>
      </c>
      <c r="C10" s="120" t="s">
        <v>1452</v>
      </c>
      <c r="D10" s="68"/>
      <c r="E10" s="129"/>
      <c r="F10" s="129"/>
      <c r="G10" s="129"/>
      <c r="H10" s="130"/>
      <c r="I10" s="125"/>
      <c r="J10" s="131"/>
      <c r="K10" s="68"/>
    </row>
    <row r="11" spans="2:13" ht="15" customHeight="1" thickBot="1" x14ac:dyDescent="0.35">
      <c r="B11" s="128"/>
      <c r="C11" s="70"/>
      <c r="D11" s="68"/>
      <c r="E11" s="129"/>
      <c r="F11" s="129"/>
      <c r="G11" s="129"/>
      <c r="H11" s="130"/>
      <c r="I11" s="132"/>
      <c r="J11" s="133"/>
      <c r="K11" s="74"/>
    </row>
    <row r="12" spans="2:13" ht="19.5" customHeight="1" thickBot="1" x14ac:dyDescent="0.35">
      <c r="B12" s="128" t="s">
        <v>1</v>
      </c>
      <c r="C12" s="134"/>
      <c r="D12" s="68"/>
      <c r="E12" s="129"/>
      <c r="F12" s="129"/>
      <c r="G12" s="129"/>
      <c r="H12" s="130"/>
      <c r="I12" s="118"/>
    </row>
    <row r="13" spans="2:13" ht="15" customHeight="1" thickBot="1" x14ac:dyDescent="0.35">
      <c r="B13" s="135"/>
      <c r="C13" s="73"/>
      <c r="D13" s="74"/>
      <c r="E13" s="76"/>
      <c r="F13" s="76"/>
      <c r="G13" s="76"/>
      <c r="H13" s="118"/>
      <c r="I13" s="118"/>
    </row>
    <row r="14" spans="2:13" ht="15" customHeight="1" x14ac:dyDescent="0.3">
      <c r="B14" s="75"/>
      <c r="C14" s="75"/>
      <c r="D14" s="76"/>
    </row>
    <row r="15" spans="2:13" ht="19.5" customHeight="1" x14ac:dyDescent="0.3">
      <c r="B15" s="202" t="s">
        <v>196</v>
      </c>
      <c r="C15" s="203"/>
      <c r="D15" s="204"/>
    </row>
    <row r="16" spans="2:13" ht="19.5" customHeight="1" thickBot="1" x14ac:dyDescent="0.35">
      <c r="B16" s="136"/>
      <c r="C16" s="83"/>
      <c r="D16" s="137"/>
    </row>
    <row r="17" spans="2:13" ht="19.5" customHeight="1" thickBot="1" x14ac:dyDescent="0.35">
      <c r="B17" s="136" t="s">
        <v>194</v>
      </c>
      <c r="C17" s="138" t="s">
        <v>1423</v>
      </c>
      <c r="D17" s="137"/>
    </row>
    <row r="18" spans="2:13" ht="15" customHeight="1" thickBot="1" x14ac:dyDescent="0.35">
      <c r="B18" s="136"/>
      <c r="C18" s="92"/>
      <c r="D18" s="139"/>
    </row>
    <row r="19" spans="2:13" ht="19.5" customHeight="1" thickBot="1" x14ac:dyDescent="0.35">
      <c r="B19" s="136" t="s">
        <v>190</v>
      </c>
      <c r="C19" s="140"/>
      <c r="D19" s="139"/>
      <c r="G19" s="207" t="s">
        <v>193</v>
      </c>
      <c r="H19" s="208"/>
      <c r="I19" s="208"/>
      <c r="J19" s="208"/>
      <c r="K19" s="208"/>
      <c r="L19" s="209"/>
    </row>
    <row r="20" spans="2:13" ht="18" customHeight="1" thickBot="1" x14ac:dyDescent="0.35">
      <c r="B20" s="136"/>
      <c r="C20" s="92"/>
      <c r="D20" s="139"/>
      <c r="G20" s="210"/>
      <c r="H20" s="211"/>
      <c r="I20" s="211"/>
      <c r="J20" s="211"/>
      <c r="K20" s="211"/>
      <c r="L20" s="212"/>
    </row>
    <row r="21" spans="2:13" ht="18.600000000000001" thickBot="1" x14ac:dyDescent="0.35">
      <c r="B21" s="141" t="s">
        <v>143</v>
      </c>
      <c r="C21" s="142"/>
      <c r="D21" s="139"/>
      <c r="G21" s="143" t="s">
        <v>0</v>
      </c>
      <c r="H21" s="144" t="s">
        <v>198</v>
      </c>
      <c r="I21" s="144" t="s">
        <v>201</v>
      </c>
      <c r="J21" s="143" t="s">
        <v>759</v>
      </c>
      <c r="K21" s="143" t="s">
        <v>195</v>
      </c>
      <c r="L21" s="143" t="s">
        <v>142</v>
      </c>
    </row>
    <row r="22" spans="2:13" ht="18" customHeight="1" thickBot="1" x14ac:dyDescent="0.35">
      <c r="B22" s="136"/>
      <c r="C22" s="92"/>
      <c r="D22" s="139"/>
      <c r="G22" s="101"/>
      <c r="H22" s="102"/>
      <c r="I22" s="102"/>
      <c r="J22" s="101"/>
      <c r="K22" s="101"/>
      <c r="L22" s="145"/>
    </row>
    <row r="23" spans="2:13" ht="18.600000000000001" thickBot="1" x14ac:dyDescent="0.35">
      <c r="B23" s="136" t="s">
        <v>3</v>
      </c>
      <c r="C23" s="99"/>
      <c r="D23" s="139"/>
    </row>
    <row r="24" spans="2:13" ht="18" customHeight="1" x14ac:dyDescent="0.3">
      <c r="B24" s="146"/>
      <c r="C24" s="147"/>
      <c r="D24" s="148"/>
    </row>
    <row r="25" spans="2:13" ht="30" customHeight="1" x14ac:dyDescent="0.3">
      <c r="B25" s="149"/>
      <c r="C25" s="149"/>
      <c r="D25" s="149"/>
      <c r="F25" s="206" t="s">
        <v>192</v>
      </c>
      <c r="G25" s="206"/>
      <c r="H25" s="206"/>
      <c r="I25" s="206"/>
      <c r="J25" s="206"/>
      <c r="K25" s="206"/>
      <c r="L25" s="206"/>
      <c r="M25" s="206"/>
    </row>
    <row r="26" spans="2:13" ht="28.8" x14ac:dyDescent="0.3">
      <c r="B26" s="173">
        <v>43831</v>
      </c>
      <c r="C26" s="150" t="s">
        <v>1442</v>
      </c>
      <c r="D26" s="149"/>
      <c r="F26" s="112" t="s">
        <v>4</v>
      </c>
      <c r="G26" s="112" t="s">
        <v>0</v>
      </c>
      <c r="H26" s="151" t="s">
        <v>198</v>
      </c>
      <c r="I26" s="151" t="s">
        <v>201</v>
      </c>
      <c r="J26" s="112" t="s">
        <v>759</v>
      </c>
      <c r="K26" s="112" t="s">
        <v>195</v>
      </c>
      <c r="L26" s="112" t="s">
        <v>142</v>
      </c>
      <c r="M26" s="114" t="s">
        <v>146</v>
      </c>
    </row>
    <row r="27" spans="2:13" x14ac:dyDescent="0.3">
      <c r="C27" s="152"/>
      <c r="F27" s="58">
        <f t="shared" ref="F27" si="0">ROW(F27)-27</f>
        <v>0</v>
      </c>
    </row>
  </sheetData>
  <dataConsolidate/>
  <mergeCells count="5">
    <mergeCell ref="B4:D4"/>
    <mergeCell ref="B15:D15"/>
    <mergeCell ref="C2:D2"/>
    <mergeCell ref="F25:M25"/>
    <mergeCell ref="G19:L20"/>
  </mergeCells>
  <phoneticPr fontId="6" type="noConversion"/>
  <dataValidations count="3">
    <dataValidation type="list" allowBlank="1" showInputMessage="1" showErrorMessage="1" errorTitle="Entrada no válida" error="¡Seleccione una opción de la lista!" sqref="C17" xr:uid="{6BE58939-7076-42B2-9C5D-28C2317BE579}">
      <formula1>"GUIA, NOTA DE ENTRADA"</formula1>
    </dataValidation>
    <dataValidation type="list" allowBlank="1" showInputMessage="1" showErrorMessage="1" errorTitle="Entrada no válida" error="¡Seleccione una opción de la lista!" sqref="C10" xr:uid="{742CDA6A-89D1-443C-B7E7-D556B5166B5B}">
      <formula1>"EPP,EQUIPOS,HERRAMIENTAS,MATERIALES,ÚTILES,OTROS"</formula1>
    </dataValidation>
    <dataValidation type="date" allowBlank="1" showInputMessage="1" showErrorMessage="1" errorTitle="FECHA INCORRECTA" error="Ingrese fecha correctamente" sqref="C21" xr:uid="{BCB60B34-0238-4773-BC18-557E4704DC4A}">
      <formula1>40178</formula1>
      <formula2>TODAY()</formula2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711A5-3358-4D59-BC94-8A65153F4FFD}">
  <sheetPr codeName="Hoja3">
    <tabColor rgb="FF0070C0"/>
  </sheetPr>
  <dimension ref="A2:G370"/>
  <sheetViews>
    <sheetView tabSelected="1" zoomScaleNormal="100" workbookViewId="0">
      <selection activeCell="C11" sqref="C11:C12"/>
    </sheetView>
  </sheetViews>
  <sheetFormatPr baseColWidth="10" defaultRowHeight="14.4" x14ac:dyDescent="0.3"/>
  <cols>
    <col min="1" max="1" width="5.5546875" customWidth="1"/>
    <col min="3" max="3" width="75.5546875" style="35" bestFit="1" customWidth="1"/>
    <col min="4" max="7" width="18.6640625" customWidth="1"/>
    <col min="8" max="8" width="20.88671875" customWidth="1"/>
    <col min="9" max="9" width="18.88671875" bestFit="1" customWidth="1"/>
  </cols>
  <sheetData>
    <row r="2" spans="1:7" ht="25.8" x14ac:dyDescent="0.3">
      <c r="A2" s="213" t="s">
        <v>139</v>
      </c>
      <c r="B2" s="213"/>
      <c r="C2" s="213"/>
      <c r="D2" s="213"/>
      <c r="E2" s="213"/>
      <c r="F2" s="213"/>
      <c r="G2" s="213"/>
    </row>
    <row r="3" spans="1:7" ht="25.8" x14ac:dyDescent="0.3">
      <c r="A3" s="26"/>
      <c r="B3" s="26"/>
      <c r="C3" s="26"/>
      <c r="D3" s="26"/>
      <c r="E3" s="26"/>
      <c r="F3" s="26"/>
      <c r="G3" s="26"/>
    </row>
    <row r="4" spans="1:7" ht="28.8" x14ac:dyDescent="0.3">
      <c r="A4" s="26"/>
      <c r="B4" s="48" t="s">
        <v>0</v>
      </c>
      <c r="C4" s="48" t="s">
        <v>759</v>
      </c>
      <c r="D4" s="48" t="s">
        <v>144</v>
      </c>
      <c r="E4" s="48" t="s">
        <v>202</v>
      </c>
      <c r="F4" s="48" t="s">
        <v>203</v>
      </c>
      <c r="G4" s="48" t="s">
        <v>863</v>
      </c>
    </row>
    <row r="5" spans="1:7" s="9" customFormat="1" ht="15" customHeight="1" x14ac:dyDescent="0.3">
      <c r="A5" s="49"/>
      <c r="B5" s="50"/>
      <c r="C5" s="51"/>
      <c r="D5" s="50"/>
      <c r="E5" s="50"/>
      <c r="F5" s="50"/>
      <c r="G5" s="50"/>
    </row>
    <row r="6" spans="1:7" x14ac:dyDescent="0.3">
      <c r="B6" s="1"/>
      <c r="C6" s="28"/>
      <c r="D6" s="3"/>
      <c r="E6" s="3"/>
      <c r="F6" s="3"/>
    </row>
    <row r="7" spans="1:7" s="4" customFormat="1" ht="39.9" customHeight="1" x14ac:dyDescent="0.3">
      <c r="A7" s="6" t="s">
        <v>4</v>
      </c>
      <c r="B7" s="7" t="s">
        <v>0</v>
      </c>
      <c r="C7" s="8" t="s">
        <v>759</v>
      </c>
      <c r="D7" s="5" t="s">
        <v>144</v>
      </c>
      <c r="E7" s="5" t="s">
        <v>202</v>
      </c>
      <c r="F7" s="5" t="s">
        <v>203</v>
      </c>
      <c r="G7" s="5" t="s">
        <v>863</v>
      </c>
    </row>
    <row r="8" spans="1:7" x14ac:dyDescent="0.3">
      <c r="A8" s="2">
        <f t="shared" ref="A8:A71" si="0">ROW(A8)-7</f>
        <v>1</v>
      </c>
      <c r="B8" s="2" t="s">
        <v>353</v>
      </c>
      <c r="C8" s="29" t="s">
        <v>986</v>
      </c>
      <c r="D8" s="22">
        <v>0</v>
      </c>
      <c r="E8" s="22">
        <v>0</v>
      </c>
      <c r="F8" s="22">
        <f>(tbl_materiales2[[#This Row],[CANTIDAD REQUERIDA]]-tbl_materiales2[[#This Row],[CANTIDAD ABASTECIDA]])</f>
        <v>0</v>
      </c>
      <c r="G8" s="25"/>
    </row>
    <row r="9" spans="1:7" x14ac:dyDescent="0.3">
      <c r="A9" s="2">
        <f t="shared" si="0"/>
        <v>2</v>
      </c>
      <c r="B9" s="2" t="s">
        <v>354</v>
      </c>
      <c r="C9" s="29" t="s">
        <v>987</v>
      </c>
      <c r="D9" s="22">
        <v>0</v>
      </c>
      <c r="E9" s="22">
        <v>0</v>
      </c>
      <c r="F9" s="22">
        <f>(tbl_materiales2[[#This Row],[CANTIDAD REQUERIDA]]-tbl_materiales2[[#This Row],[CANTIDAD ABASTECIDA]])</f>
        <v>0</v>
      </c>
      <c r="G9" s="25"/>
    </row>
    <row r="10" spans="1:7" x14ac:dyDescent="0.3">
      <c r="A10" s="2">
        <f t="shared" si="0"/>
        <v>3</v>
      </c>
      <c r="B10" s="2" t="s">
        <v>355</v>
      </c>
      <c r="C10" s="29" t="s">
        <v>988</v>
      </c>
      <c r="D10" s="22">
        <v>0</v>
      </c>
      <c r="E10" s="22">
        <v>0</v>
      </c>
      <c r="F10" s="22">
        <f>(tbl_materiales2[[#This Row],[CANTIDAD REQUERIDA]]-tbl_materiales2[[#This Row],[CANTIDAD ABASTECIDA]])</f>
        <v>0</v>
      </c>
      <c r="G10" s="25"/>
    </row>
    <row r="11" spans="1:7" x14ac:dyDescent="0.3">
      <c r="A11" s="2">
        <f t="shared" si="0"/>
        <v>4</v>
      </c>
      <c r="B11" s="2" t="s">
        <v>356</v>
      </c>
      <c r="C11" s="30" t="s">
        <v>984</v>
      </c>
      <c r="D11" s="22">
        <v>0</v>
      </c>
      <c r="E11" s="22">
        <v>0</v>
      </c>
      <c r="F11" s="22">
        <f>(tbl_materiales2[[#This Row],[CANTIDAD REQUERIDA]]-tbl_materiales2[[#This Row],[CANTIDAD ABASTECIDA]])</f>
        <v>0</v>
      </c>
      <c r="G11" s="25"/>
    </row>
    <row r="12" spans="1:7" x14ac:dyDescent="0.3">
      <c r="A12" s="154">
        <f t="shared" si="0"/>
        <v>5</v>
      </c>
      <c r="B12" s="2" t="s">
        <v>1333</v>
      </c>
      <c r="C12" s="36" t="s">
        <v>1331</v>
      </c>
      <c r="D12" s="22">
        <v>0</v>
      </c>
      <c r="E12" s="22">
        <v>0</v>
      </c>
      <c r="F12" s="22">
        <f>(tbl_materiales2[[#This Row],[CANTIDAD REQUERIDA]]-tbl_materiales2[[#This Row],[CANTIDAD ABASTECIDA]])</f>
        <v>0</v>
      </c>
      <c r="G12" s="25"/>
    </row>
    <row r="13" spans="1:7" x14ac:dyDescent="0.3">
      <c r="A13" s="2">
        <f t="shared" si="0"/>
        <v>6</v>
      </c>
      <c r="B13" s="2" t="s">
        <v>357</v>
      </c>
      <c r="C13" s="30" t="s">
        <v>1329</v>
      </c>
      <c r="D13" s="22">
        <v>0</v>
      </c>
      <c r="E13" s="22">
        <v>0</v>
      </c>
      <c r="F13" s="22">
        <f>(tbl_materiales2[[#This Row],[CANTIDAD REQUERIDA]]-tbl_materiales2[[#This Row],[CANTIDAD ABASTECIDA]])</f>
        <v>0</v>
      </c>
      <c r="G13" s="25"/>
    </row>
    <row r="14" spans="1:7" x14ac:dyDescent="0.3">
      <c r="A14" s="154">
        <f t="shared" si="0"/>
        <v>7</v>
      </c>
      <c r="B14" s="2" t="s">
        <v>1332</v>
      </c>
      <c r="C14" s="36" t="s">
        <v>1330</v>
      </c>
      <c r="D14" s="22">
        <v>0</v>
      </c>
      <c r="E14" s="22">
        <v>0</v>
      </c>
      <c r="F14" s="22">
        <f>(tbl_materiales2[[#This Row],[CANTIDAD REQUERIDA]]-tbl_materiales2[[#This Row],[CANTIDAD ABASTECIDA]])</f>
        <v>0</v>
      </c>
      <c r="G14" s="25"/>
    </row>
    <row r="15" spans="1:7" x14ac:dyDescent="0.3">
      <c r="A15" s="2">
        <f t="shared" si="0"/>
        <v>8</v>
      </c>
      <c r="B15" s="2" t="s">
        <v>358</v>
      </c>
      <c r="C15" s="29" t="s">
        <v>161</v>
      </c>
      <c r="D15" s="22">
        <v>0</v>
      </c>
      <c r="E15" s="22">
        <v>0</v>
      </c>
      <c r="F15" s="22">
        <f>(tbl_materiales2[[#This Row],[CANTIDAD REQUERIDA]]-tbl_materiales2[[#This Row],[CANTIDAD ABASTECIDA]])</f>
        <v>0</v>
      </c>
      <c r="G15" s="25"/>
    </row>
    <row r="16" spans="1:7" x14ac:dyDescent="0.3">
      <c r="A16" s="2">
        <f t="shared" si="0"/>
        <v>9</v>
      </c>
      <c r="B16" s="2" t="s">
        <v>359</v>
      </c>
      <c r="C16" s="30" t="s">
        <v>865</v>
      </c>
      <c r="D16" s="22">
        <v>0</v>
      </c>
      <c r="E16" s="22">
        <v>0</v>
      </c>
      <c r="F16" s="22">
        <f>(tbl_materiales2[[#This Row],[CANTIDAD REQUERIDA]]-tbl_materiales2[[#This Row],[CANTIDAD ABASTECIDA]])</f>
        <v>0</v>
      </c>
      <c r="G16" s="25"/>
    </row>
    <row r="17" spans="1:7" x14ac:dyDescent="0.3">
      <c r="A17" s="2">
        <f t="shared" si="0"/>
        <v>10</v>
      </c>
      <c r="B17" s="2" t="s">
        <v>360</v>
      </c>
      <c r="C17" s="29" t="s">
        <v>65</v>
      </c>
      <c r="D17" s="22">
        <v>0</v>
      </c>
      <c r="E17" s="22">
        <v>0</v>
      </c>
      <c r="F17" s="22">
        <f>(tbl_materiales2[[#This Row],[CANTIDAD REQUERIDA]]-tbl_materiales2[[#This Row],[CANTIDAD ABASTECIDA]])</f>
        <v>0</v>
      </c>
      <c r="G17" s="25"/>
    </row>
    <row r="18" spans="1:7" x14ac:dyDescent="0.3">
      <c r="A18" s="2">
        <f t="shared" si="0"/>
        <v>11</v>
      </c>
      <c r="B18" s="2" t="s">
        <v>361</v>
      </c>
      <c r="C18" s="29" t="s">
        <v>77</v>
      </c>
      <c r="D18" s="22">
        <v>0</v>
      </c>
      <c r="E18" s="22">
        <v>0</v>
      </c>
      <c r="F18" s="22">
        <f>(tbl_materiales2[[#This Row],[CANTIDAD REQUERIDA]]-tbl_materiales2[[#This Row],[CANTIDAD ABASTECIDA]])</f>
        <v>0</v>
      </c>
      <c r="G18" s="25"/>
    </row>
    <row r="19" spans="1:7" x14ac:dyDescent="0.3">
      <c r="A19" s="2">
        <f t="shared" si="0"/>
        <v>12</v>
      </c>
      <c r="B19" s="2" t="s">
        <v>362</v>
      </c>
      <c r="C19" s="29" t="s">
        <v>56</v>
      </c>
      <c r="D19" s="22">
        <v>0</v>
      </c>
      <c r="E19" s="22">
        <v>0</v>
      </c>
      <c r="F19" s="22">
        <f>(tbl_materiales2[[#This Row],[CANTIDAD REQUERIDA]]-tbl_materiales2[[#This Row],[CANTIDAD ABASTECIDA]])</f>
        <v>0</v>
      </c>
      <c r="G19" s="25"/>
    </row>
    <row r="20" spans="1:7" x14ac:dyDescent="0.3">
      <c r="A20" s="2">
        <f t="shared" si="0"/>
        <v>13</v>
      </c>
      <c r="B20" s="2" t="s">
        <v>363</v>
      </c>
      <c r="C20" s="29" t="s">
        <v>113</v>
      </c>
      <c r="D20" s="22">
        <v>0</v>
      </c>
      <c r="E20" s="22">
        <v>0</v>
      </c>
      <c r="F20" s="22">
        <f>(tbl_materiales2[[#This Row],[CANTIDAD REQUERIDA]]-tbl_materiales2[[#This Row],[CANTIDAD ABASTECIDA]])</f>
        <v>0</v>
      </c>
      <c r="G20" s="25"/>
    </row>
    <row r="21" spans="1:7" x14ac:dyDescent="0.3">
      <c r="A21" s="154">
        <f t="shared" si="0"/>
        <v>14</v>
      </c>
      <c r="B21" s="2" t="s">
        <v>1414</v>
      </c>
      <c r="C21" s="36" t="s">
        <v>1413</v>
      </c>
      <c r="D21" s="22">
        <v>0</v>
      </c>
      <c r="E21" s="22">
        <v>0</v>
      </c>
      <c r="F21" s="22">
        <f>(tbl_materiales2[[#This Row],[CANTIDAD REQUERIDA]]-tbl_materiales2[[#This Row],[CANTIDAD ABASTECIDA]])</f>
        <v>0</v>
      </c>
      <c r="G21" s="25"/>
    </row>
    <row r="22" spans="1:7" x14ac:dyDescent="0.3">
      <c r="A22" s="2">
        <f t="shared" si="0"/>
        <v>15</v>
      </c>
      <c r="B22" s="2" t="s">
        <v>364</v>
      </c>
      <c r="C22" s="29" t="s">
        <v>95</v>
      </c>
      <c r="D22" s="22">
        <v>0</v>
      </c>
      <c r="E22" s="22">
        <v>0</v>
      </c>
      <c r="F22" s="22">
        <f>(tbl_materiales2[[#This Row],[CANTIDAD REQUERIDA]]-tbl_materiales2[[#This Row],[CANTIDAD ABASTECIDA]])</f>
        <v>0</v>
      </c>
      <c r="G22" s="25"/>
    </row>
    <row r="23" spans="1:7" x14ac:dyDescent="0.3">
      <c r="A23" s="2">
        <f t="shared" si="0"/>
        <v>16</v>
      </c>
      <c r="B23" s="2" t="s">
        <v>365</v>
      </c>
      <c r="C23" s="29" t="s">
        <v>71</v>
      </c>
      <c r="D23" s="22">
        <v>0</v>
      </c>
      <c r="E23" s="22">
        <v>0</v>
      </c>
      <c r="F23" s="22">
        <f>(tbl_materiales2[[#This Row],[CANTIDAD REQUERIDA]]-tbl_materiales2[[#This Row],[CANTIDAD ABASTECIDA]])</f>
        <v>0</v>
      </c>
      <c r="G23" s="25"/>
    </row>
    <row r="24" spans="1:7" x14ac:dyDescent="0.3">
      <c r="A24" s="2">
        <f t="shared" si="0"/>
        <v>17</v>
      </c>
      <c r="B24" s="2" t="s">
        <v>366</v>
      </c>
      <c r="C24" s="29" t="s">
        <v>101</v>
      </c>
      <c r="D24" s="22">
        <v>0</v>
      </c>
      <c r="E24" s="22">
        <v>0</v>
      </c>
      <c r="F24" s="22">
        <f>(tbl_materiales2[[#This Row],[CANTIDAD REQUERIDA]]-tbl_materiales2[[#This Row],[CANTIDAD ABASTECIDA]])</f>
        <v>0</v>
      </c>
      <c r="G24" s="25"/>
    </row>
    <row r="25" spans="1:7" x14ac:dyDescent="0.3">
      <c r="A25" s="2">
        <f t="shared" si="0"/>
        <v>18</v>
      </c>
      <c r="B25" s="2" t="s">
        <v>367</v>
      </c>
      <c r="C25" s="29" t="s">
        <v>127</v>
      </c>
      <c r="D25" s="22">
        <v>0</v>
      </c>
      <c r="E25" s="22">
        <v>0</v>
      </c>
      <c r="F25" s="22">
        <f>(tbl_materiales2[[#This Row],[CANTIDAD REQUERIDA]]-tbl_materiales2[[#This Row],[CANTIDAD ABASTECIDA]])</f>
        <v>0</v>
      </c>
      <c r="G25" s="25"/>
    </row>
    <row r="26" spans="1:7" x14ac:dyDescent="0.3">
      <c r="A26" s="2">
        <f t="shared" si="0"/>
        <v>19</v>
      </c>
      <c r="B26" s="2" t="s">
        <v>368</v>
      </c>
      <c r="C26" s="29" t="s">
        <v>61</v>
      </c>
      <c r="D26" s="22">
        <v>0</v>
      </c>
      <c r="E26" s="22">
        <v>0</v>
      </c>
      <c r="F26" s="22">
        <f>(tbl_materiales2[[#This Row],[CANTIDAD REQUERIDA]]-tbl_materiales2[[#This Row],[CANTIDAD ABASTECIDA]])</f>
        <v>0</v>
      </c>
      <c r="G26" s="25"/>
    </row>
    <row r="27" spans="1:7" x14ac:dyDescent="0.3">
      <c r="A27" s="2">
        <f t="shared" si="0"/>
        <v>20</v>
      </c>
      <c r="B27" s="2" t="s">
        <v>369</v>
      </c>
      <c r="C27" s="29" t="s">
        <v>109</v>
      </c>
      <c r="D27" s="22">
        <v>0</v>
      </c>
      <c r="E27" s="22">
        <v>0</v>
      </c>
      <c r="F27" s="22">
        <f>(tbl_materiales2[[#This Row],[CANTIDAD REQUERIDA]]-tbl_materiales2[[#This Row],[CANTIDAD ABASTECIDA]])</f>
        <v>0</v>
      </c>
      <c r="G27" s="25"/>
    </row>
    <row r="28" spans="1:7" x14ac:dyDescent="0.3">
      <c r="A28" s="2">
        <f t="shared" si="0"/>
        <v>21</v>
      </c>
      <c r="B28" s="2" t="s">
        <v>370</v>
      </c>
      <c r="C28" s="30" t="s">
        <v>1014</v>
      </c>
      <c r="D28" s="22">
        <v>0</v>
      </c>
      <c r="E28" s="22">
        <v>0</v>
      </c>
      <c r="F28" s="22">
        <f>(tbl_materiales2[[#This Row],[CANTIDAD REQUERIDA]]-tbl_materiales2[[#This Row],[CANTIDAD ABASTECIDA]])</f>
        <v>0</v>
      </c>
      <c r="G28" s="25"/>
    </row>
    <row r="29" spans="1:7" x14ac:dyDescent="0.3">
      <c r="A29" s="2">
        <f t="shared" si="0"/>
        <v>22</v>
      </c>
      <c r="B29" s="2" t="s">
        <v>371</v>
      </c>
      <c r="C29" s="29" t="s">
        <v>14</v>
      </c>
      <c r="D29" s="22">
        <v>0</v>
      </c>
      <c r="E29" s="22">
        <v>0</v>
      </c>
      <c r="F29" s="22">
        <f>(tbl_materiales2[[#This Row],[CANTIDAD REQUERIDA]]-tbl_materiales2[[#This Row],[CANTIDAD ABASTECIDA]])</f>
        <v>0</v>
      </c>
      <c r="G29" s="25"/>
    </row>
    <row r="30" spans="1:7" x14ac:dyDescent="0.3">
      <c r="A30" s="2">
        <f t="shared" si="0"/>
        <v>23</v>
      </c>
      <c r="B30" s="2" t="s">
        <v>776</v>
      </c>
      <c r="C30" s="29" t="s">
        <v>5</v>
      </c>
      <c r="D30" s="22">
        <v>0</v>
      </c>
      <c r="E30" s="22">
        <v>0</v>
      </c>
      <c r="F30" s="22">
        <f>(tbl_materiales2[[#This Row],[CANTIDAD REQUERIDA]]-tbl_materiales2[[#This Row],[CANTIDAD ABASTECIDA]])</f>
        <v>0</v>
      </c>
      <c r="G30" s="25"/>
    </row>
    <row r="31" spans="1:7" x14ac:dyDescent="0.3">
      <c r="A31" s="2">
        <f t="shared" si="0"/>
        <v>24</v>
      </c>
      <c r="B31" s="2" t="s">
        <v>372</v>
      </c>
      <c r="C31" s="29" t="s">
        <v>6</v>
      </c>
      <c r="D31" s="22">
        <v>0</v>
      </c>
      <c r="E31" s="22">
        <v>0</v>
      </c>
      <c r="F31" s="22">
        <f>(tbl_materiales2[[#This Row],[CANTIDAD REQUERIDA]]-tbl_materiales2[[#This Row],[CANTIDAD ABASTECIDA]])</f>
        <v>0</v>
      </c>
      <c r="G31" s="25"/>
    </row>
    <row r="32" spans="1:7" x14ac:dyDescent="0.3">
      <c r="A32" s="2">
        <f t="shared" si="0"/>
        <v>25</v>
      </c>
      <c r="B32" s="2" t="s">
        <v>373</v>
      </c>
      <c r="C32" s="31" t="s">
        <v>765</v>
      </c>
      <c r="D32" s="22">
        <v>0</v>
      </c>
      <c r="E32" s="22">
        <v>0</v>
      </c>
      <c r="F32" s="22">
        <f>(tbl_materiales2[[#This Row],[CANTIDAD REQUERIDA]]-tbl_materiales2[[#This Row],[CANTIDAD ABASTECIDA]])</f>
        <v>0</v>
      </c>
      <c r="G32" s="25"/>
    </row>
    <row r="33" spans="1:7" x14ac:dyDescent="0.3">
      <c r="A33" s="2">
        <f t="shared" si="0"/>
        <v>26</v>
      </c>
      <c r="B33" s="2" t="s">
        <v>374</v>
      </c>
      <c r="C33" s="31" t="s">
        <v>867</v>
      </c>
      <c r="D33" s="22">
        <v>0</v>
      </c>
      <c r="E33" s="22">
        <v>0</v>
      </c>
      <c r="F33" s="22">
        <f>(tbl_materiales2[[#This Row],[CANTIDAD REQUERIDA]]-tbl_materiales2[[#This Row],[CANTIDAD ABASTECIDA]])</f>
        <v>0</v>
      </c>
      <c r="G33" s="25"/>
    </row>
    <row r="34" spans="1:7" x14ac:dyDescent="0.3">
      <c r="A34" s="2">
        <f t="shared" si="0"/>
        <v>27</v>
      </c>
      <c r="B34" s="2" t="s">
        <v>375</v>
      </c>
      <c r="C34" s="31" t="s">
        <v>766</v>
      </c>
      <c r="D34" s="22">
        <v>0</v>
      </c>
      <c r="E34" s="22">
        <v>0</v>
      </c>
      <c r="F34" s="22">
        <f>(tbl_materiales2[[#This Row],[CANTIDAD REQUERIDA]]-tbl_materiales2[[#This Row],[CANTIDAD ABASTECIDA]])</f>
        <v>0</v>
      </c>
      <c r="G34" s="25"/>
    </row>
    <row r="35" spans="1:7" x14ac:dyDescent="0.3">
      <c r="A35" s="2">
        <f t="shared" si="0"/>
        <v>28</v>
      </c>
      <c r="B35" s="2" t="s">
        <v>376</v>
      </c>
      <c r="C35" s="30" t="s">
        <v>767</v>
      </c>
      <c r="D35" s="22">
        <v>0</v>
      </c>
      <c r="E35" s="22">
        <v>0</v>
      </c>
      <c r="F35" s="22">
        <f>(tbl_materiales2[[#This Row],[CANTIDAD REQUERIDA]]-tbl_materiales2[[#This Row],[CANTIDAD ABASTECIDA]])</f>
        <v>0</v>
      </c>
      <c r="G35" s="25"/>
    </row>
    <row r="36" spans="1:7" x14ac:dyDescent="0.3">
      <c r="A36" s="2">
        <f t="shared" si="0"/>
        <v>29</v>
      </c>
      <c r="B36" s="2" t="s">
        <v>377</v>
      </c>
      <c r="C36" s="29" t="s">
        <v>10</v>
      </c>
      <c r="D36" s="22">
        <v>0</v>
      </c>
      <c r="E36" s="22">
        <v>0</v>
      </c>
      <c r="F36" s="22">
        <f>(tbl_materiales2[[#This Row],[CANTIDAD REQUERIDA]]-tbl_materiales2[[#This Row],[CANTIDAD ABASTECIDA]])</f>
        <v>0</v>
      </c>
      <c r="G36" s="25"/>
    </row>
    <row r="37" spans="1:7" x14ac:dyDescent="0.3">
      <c r="A37" s="2">
        <f t="shared" si="0"/>
        <v>30</v>
      </c>
      <c r="B37" s="2" t="s">
        <v>378</v>
      </c>
      <c r="C37" s="29" t="s">
        <v>8</v>
      </c>
      <c r="D37" s="22">
        <v>0</v>
      </c>
      <c r="E37" s="22">
        <v>0</v>
      </c>
      <c r="F37" s="22">
        <f>(tbl_materiales2[[#This Row],[CANTIDAD REQUERIDA]]-tbl_materiales2[[#This Row],[CANTIDAD ABASTECIDA]])</f>
        <v>0</v>
      </c>
      <c r="G37" s="25"/>
    </row>
    <row r="38" spans="1:7" x14ac:dyDescent="0.3">
      <c r="A38" s="2">
        <f t="shared" si="0"/>
        <v>31</v>
      </c>
      <c r="B38" s="2" t="s">
        <v>379</v>
      </c>
      <c r="C38" s="29" t="s">
        <v>9</v>
      </c>
      <c r="D38" s="22">
        <v>0</v>
      </c>
      <c r="E38" s="22">
        <v>0</v>
      </c>
      <c r="F38" s="22">
        <f>(tbl_materiales2[[#This Row],[CANTIDAD REQUERIDA]]-tbl_materiales2[[#This Row],[CANTIDAD ABASTECIDA]])</f>
        <v>0</v>
      </c>
      <c r="G38" s="25"/>
    </row>
    <row r="39" spans="1:7" x14ac:dyDescent="0.3">
      <c r="A39" s="2">
        <f t="shared" si="0"/>
        <v>32</v>
      </c>
      <c r="B39" s="2" t="s">
        <v>380</v>
      </c>
      <c r="C39" s="29" t="s">
        <v>121</v>
      </c>
      <c r="D39" s="22">
        <v>0</v>
      </c>
      <c r="E39" s="22">
        <v>0</v>
      </c>
      <c r="F39" s="22">
        <f>(tbl_materiales2[[#This Row],[CANTIDAD REQUERIDA]]-tbl_materiales2[[#This Row],[CANTIDAD ABASTECIDA]])</f>
        <v>0</v>
      </c>
      <c r="G39" s="25"/>
    </row>
    <row r="40" spans="1:7" x14ac:dyDescent="0.3">
      <c r="A40" s="2">
        <f t="shared" si="0"/>
        <v>33</v>
      </c>
      <c r="B40" s="2" t="s">
        <v>381</v>
      </c>
      <c r="C40" s="31" t="s">
        <v>74</v>
      </c>
      <c r="D40" s="22">
        <v>0</v>
      </c>
      <c r="E40" s="22">
        <v>0</v>
      </c>
      <c r="F40" s="22">
        <f>(tbl_materiales2[[#This Row],[CANTIDAD REQUERIDA]]-tbl_materiales2[[#This Row],[CANTIDAD ABASTECIDA]])</f>
        <v>0</v>
      </c>
      <c r="G40" s="25"/>
    </row>
    <row r="41" spans="1:7" x14ac:dyDescent="0.3">
      <c r="A41" s="2">
        <f t="shared" si="0"/>
        <v>34</v>
      </c>
      <c r="B41" s="2" t="s">
        <v>382</v>
      </c>
      <c r="C41" s="31" t="s">
        <v>91</v>
      </c>
      <c r="D41" s="22">
        <v>0</v>
      </c>
      <c r="E41" s="22">
        <v>0</v>
      </c>
      <c r="F41" s="22">
        <f>(tbl_materiales2[[#This Row],[CANTIDAD REQUERIDA]]-tbl_materiales2[[#This Row],[CANTIDAD ABASTECIDA]])</f>
        <v>0</v>
      </c>
      <c r="G41" s="25"/>
    </row>
    <row r="42" spans="1:7" x14ac:dyDescent="0.3">
      <c r="A42" s="2">
        <f t="shared" si="0"/>
        <v>35</v>
      </c>
      <c r="B42" s="2" t="s">
        <v>383</v>
      </c>
      <c r="C42" s="31" t="s">
        <v>73</v>
      </c>
      <c r="D42" s="22">
        <v>0</v>
      </c>
      <c r="E42" s="22">
        <v>0</v>
      </c>
      <c r="F42" s="22">
        <f>(tbl_materiales2[[#This Row],[CANTIDAD REQUERIDA]]-tbl_materiales2[[#This Row],[CANTIDAD ABASTECIDA]])</f>
        <v>0</v>
      </c>
      <c r="G42" s="25"/>
    </row>
    <row r="43" spans="1:7" x14ac:dyDescent="0.3">
      <c r="A43" s="2">
        <f t="shared" si="0"/>
        <v>36</v>
      </c>
      <c r="B43" s="2" t="s">
        <v>384</v>
      </c>
      <c r="C43" s="29" t="s">
        <v>985</v>
      </c>
      <c r="D43" s="22">
        <v>0</v>
      </c>
      <c r="E43" s="22">
        <v>0</v>
      </c>
      <c r="F43" s="22">
        <f>(tbl_materiales2[[#This Row],[CANTIDAD REQUERIDA]]-tbl_materiales2[[#This Row],[CANTIDAD ABASTECIDA]])</f>
        <v>0</v>
      </c>
      <c r="G43" s="25"/>
    </row>
    <row r="44" spans="1:7" x14ac:dyDescent="0.3">
      <c r="A44" s="2">
        <f t="shared" si="0"/>
        <v>37</v>
      </c>
      <c r="B44" s="2" t="s">
        <v>385</v>
      </c>
      <c r="C44" s="29" t="s">
        <v>17</v>
      </c>
      <c r="D44" s="22">
        <v>0</v>
      </c>
      <c r="E44" s="22">
        <v>0</v>
      </c>
      <c r="F44" s="22">
        <f>(tbl_materiales2[[#This Row],[CANTIDAD REQUERIDA]]-tbl_materiales2[[#This Row],[CANTIDAD ABASTECIDA]])</f>
        <v>0</v>
      </c>
      <c r="G44" s="25"/>
    </row>
    <row r="45" spans="1:7" x14ac:dyDescent="0.3">
      <c r="A45" s="2">
        <f t="shared" si="0"/>
        <v>38</v>
      </c>
      <c r="B45" s="2" t="s">
        <v>386</v>
      </c>
      <c r="C45" s="29" t="s">
        <v>989</v>
      </c>
      <c r="D45" s="22">
        <v>0</v>
      </c>
      <c r="E45" s="22">
        <v>0</v>
      </c>
      <c r="F45" s="22">
        <f>(tbl_materiales2[[#This Row],[CANTIDAD REQUERIDA]]-tbl_materiales2[[#This Row],[CANTIDAD ABASTECIDA]])</f>
        <v>0</v>
      </c>
      <c r="G45" s="25"/>
    </row>
    <row r="46" spans="1:7" x14ac:dyDescent="0.3">
      <c r="A46" s="2">
        <f t="shared" si="0"/>
        <v>39</v>
      </c>
      <c r="B46" s="2" t="s">
        <v>387</v>
      </c>
      <c r="C46" s="29" t="s">
        <v>990</v>
      </c>
      <c r="D46" s="22">
        <v>0</v>
      </c>
      <c r="E46" s="22">
        <v>0</v>
      </c>
      <c r="F46" s="22">
        <f>(tbl_materiales2[[#This Row],[CANTIDAD REQUERIDA]]-tbl_materiales2[[#This Row],[CANTIDAD ABASTECIDA]])</f>
        <v>0</v>
      </c>
      <c r="G46" s="25"/>
    </row>
    <row r="47" spans="1:7" x14ac:dyDescent="0.3">
      <c r="A47" s="2">
        <f t="shared" si="0"/>
        <v>40</v>
      </c>
      <c r="B47" s="2" t="s">
        <v>388</v>
      </c>
      <c r="C47" s="29" t="s">
        <v>991</v>
      </c>
      <c r="D47" s="22">
        <v>0</v>
      </c>
      <c r="E47" s="22">
        <v>0</v>
      </c>
      <c r="F47" s="22">
        <f>(tbl_materiales2[[#This Row],[CANTIDAD REQUERIDA]]-tbl_materiales2[[#This Row],[CANTIDAD ABASTECIDA]])</f>
        <v>0</v>
      </c>
      <c r="G47" s="25"/>
    </row>
    <row r="48" spans="1:7" x14ac:dyDescent="0.3">
      <c r="A48" s="2">
        <f t="shared" si="0"/>
        <v>41</v>
      </c>
      <c r="B48" s="2" t="s">
        <v>389</v>
      </c>
      <c r="C48" s="29" t="s">
        <v>992</v>
      </c>
      <c r="D48" s="22">
        <v>0</v>
      </c>
      <c r="E48" s="22">
        <v>0</v>
      </c>
      <c r="F48" s="22">
        <f>(tbl_materiales2[[#This Row],[CANTIDAD REQUERIDA]]-tbl_materiales2[[#This Row],[CANTIDAD ABASTECIDA]])</f>
        <v>0</v>
      </c>
      <c r="G48" s="25"/>
    </row>
    <row r="49" spans="1:7" x14ac:dyDescent="0.3">
      <c r="A49" s="2">
        <f t="shared" si="0"/>
        <v>42</v>
      </c>
      <c r="B49" s="2" t="s">
        <v>390</v>
      </c>
      <c r="C49" s="29" t="s">
        <v>993</v>
      </c>
      <c r="D49" s="22">
        <v>0</v>
      </c>
      <c r="E49" s="22">
        <v>0</v>
      </c>
      <c r="F49" s="22">
        <f>(tbl_materiales2[[#This Row],[CANTIDAD REQUERIDA]]-tbl_materiales2[[#This Row],[CANTIDAD ABASTECIDA]])</f>
        <v>0</v>
      </c>
      <c r="G49" s="25"/>
    </row>
    <row r="50" spans="1:7" x14ac:dyDescent="0.3">
      <c r="A50" s="2">
        <f t="shared" si="0"/>
        <v>43</v>
      </c>
      <c r="B50" s="2" t="s">
        <v>391</v>
      </c>
      <c r="C50" s="29" t="s">
        <v>994</v>
      </c>
      <c r="D50" s="22">
        <v>0</v>
      </c>
      <c r="E50" s="22">
        <v>0</v>
      </c>
      <c r="F50" s="22">
        <f>(tbl_materiales2[[#This Row],[CANTIDAD REQUERIDA]]-tbl_materiales2[[#This Row],[CANTIDAD ABASTECIDA]])</f>
        <v>0</v>
      </c>
      <c r="G50" s="25"/>
    </row>
    <row r="51" spans="1:7" x14ac:dyDescent="0.3">
      <c r="A51" s="2">
        <f t="shared" si="0"/>
        <v>44</v>
      </c>
      <c r="B51" s="2" t="s">
        <v>392</v>
      </c>
      <c r="C51" s="29" t="s">
        <v>88</v>
      </c>
      <c r="D51" s="22">
        <v>0</v>
      </c>
      <c r="E51" s="22">
        <v>0</v>
      </c>
      <c r="F51" s="22">
        <f>(tbl_materiales2[[#This Row],[CANTIDAD REQUERIDA]]-tbl_materiales2[[#This Row],[CANTIDAD ABASTECIDA]])</f>
        <v>0</v>
      </c>
      <c r="G51" s="25"/>
    </row>
    <row r="52" spans="1:7" x14ac:dyDescent="0.3">
      <c r="A52" s="2">
        <f t="shared" si="0"/>
        <v>45</v>
      </c>
      <c r="B52" s="2" t="s">
        <v>393</v>
      </c>
      <c r="C52" s="29" t="s">
        <v>47</v>
      </c>
      <c r="D52" s="22">
        <v>0</v>
      </c>
      <c r="E52" s="22">
        <v>0</v>
      </c>
      <c r="F52" s="22">
        <f>(tbl_materiales2[[#This Row],[CANTIDAD REQUERIDA]]-tbl_materiales2[[#This Row],[CANTIDAD ABASTECIDA]])</f>
        <v>0</v>
      </c>
      <c r="G52" s="25"/>
    </row>
    <row r="53" spans="1:7" x14ac:dyDescent="0.3">
      <c r="A53" s="2">
        <f t="shared" si="0"/>
        <v>46</v>
      </c>
      <c r="B53" s="2" t="s">
        <v>394</v>
      </c>
      <c r="C53" s="29" t="s">
        <v>1216</v>
      </c>
      <c r="D53" s="22">
        <v>0</v>
      </c>
      <c r="E53" s="22">
        <v>0</v>
      </c>
      <c r="F53" s="22">
        <f>(tbl_materiales2[[#This Row],[CANTIDAD REQUERIDA]]-tbl_materiales2[[#This Row],[CANTIDAD ABASTECIDA]])</f>
        <v>0</v>
      </c>
      <c r="G53" s="25"/>
    </row>
    <row r="54" spans="1:7" x14ac:dyDescent="0.3">
      <c r="A54" s="154">
        <f t="shared" si="0"/>
        <v>47</v>
      </c>
      <c r="B54" s="2" t="s">
        <v>395</v>
      </c>
      <c r="C54" s="36" t="s">
        <v>1217</v>
      </c>
      <c r="D54" s="22">
        <v>0</v>
      </c>
      <c r="E54" s="22">
        <v>0</v>
      </c>
      <c r="F54" s="22">
        <f>(tbl_materiales2[[#This Row],[CANTIDAD REQUERIDA]]-tbl_materiales2[[#This Row],[CANTIDAD ABASTECIDA]])</f>
        <v>0</v>
      </c>
      <c r="G54" s="25"/>
    </row>
    <row r="55" spans="1:7" x14ac:dyDescent="0.3">
      <c r="A55" s="2">
        <f t="shared" si="0"/>
        <v>48</v>
      </c>
      <c r="B55" s="2" t="s">
        <v>396</v>
      </c>
      <c r="C55" s="31" t="s">
        <v>30</v>
      </c>
      <c r="D55" s="22">
        <v>0</v>
      </c>
      <c r="E55" s="22">
        <v>0</v>
      </c>
      <c r="F55" s="22">
        <f>(tbl_materiales2[[#This Row],[CANTIDAD REQUERIDA]]-tbl_materiales2[[#This Row],[CANTIDAD ABASTECIDA]])</f>
        <v>0</v>
      </c>
      <c r="G55" s="25"/>
    </row>
    <row r="56" spans="1:7" x14ac:dyDescent="0.3">
      <c r="A56" s="2">
        <f t="shared" si="0"/>
        <v>49</v>
      </c>
      <c r="B56" s="2" t="s">
        <v>397</v>
      </c>
      <c r="C56" s="31" t="s">
        <v>29</v>
      </c>
      <c r="D56" s="22">
        <v>0</v>
      </c>
      <c r="E56" s="22">
        <v>0</v>
      </c>
      <c r="F56" s="22">
        <f>(tbl_materiales2[[#This Row],[CANTIDAD REQUERIDA]]-tbl_materiales2[[#This Row],[CANTIDAD ABASTECIDA]])</f>
        <v>0</v>
      </c>
      <c r="G56" s="25"/>
    </row>
    <row r="57" spans="1:7" x14ac:dyDescent="0.3">
      <c r="A57" s="2">
        <f t="shared" si="0"/>
        <v>50</v>
      </c>
      <c r="B57" s="2" t="s">
        <v>398</v>
      </c>
      <c r="C57" s="30" t="s">
        <v>995</v>
      </c>
      <c r="D57" s="22">
        <v>0</v>
      </c>
      <c r="E57" s="22">
        <v>0</v>
      </c>
      <c r="F57" s="22">
        <f>(tbl_materiales2[[#This Row],[CANTIDAD REQUERIDA]]-tbl_materiales2[[#This Row],[CANTIDAD ABASTECIDA]])</f>
        <v>0</v>
      </c>
      <c r="G57" s="25"/>
    </row>
    <row r="58" spans="1:7" x14ac:dyDescent="0.3">
      <c r="A58" s="2">
        <f t="shared" si="0"/>
        <v>51</v>
      </c>
      <c r="B58" s="2" t="s">
        <v>399</v>
      </c>
      <c r="C58" s="31" t="s">
        <v>996</v>
      </c>
      <c r="D58" s="22">
        <v>0</v>
      </c>
      <c r="E58" s="22">
        <v>0</v>
      </c>
      <c r="F58" s="22">
        <f>(tbl_materiales2[[#This Row],[CANTIDAD REQUERIDA]]-tbl_materiales2[[#This Row],[CANTIDAD ABASTECIDA]])</f>
        <v>0</v>
      </c>
      <c r="G58" s="25"/>
    </row>
    <row r="59" spans="1:7" x14ac:dyDescent="0.3">
      <c r="A59" s="2">
        <f t="shared" si="0"/>
        <v>52</v>
      </c>
      <c r="B59" s="2" t="s">
        <v>400</v>
      </c>
      <c r="C59" s="30" t="s">
        <v>997</v>
      </c>
      <c r="D59" s="22">
        <v>0</v>
      </c>
      <c r="E59" s="22">
        <v>0</v>
      </c>
      <c r="F59" s="22">
        <f>(tbl_materiales2[[#This Row],[CANTIDAD REQUERIDA]]-tbl_materiales2[[#This Row],[CANTIDAD ABASTECIDA]])</f>
        <v>0</v>
      </c>
      <c r="G59" s="25"/>
    </row>
    <row r="60" spans="1:7" x14ac:dyDescent="0.3">
      <c r="A60" s="2">
        <f t="shared" si="0"/>
        <v>53</v>
      </c>
      <c r="B60" s="2" t="s">
        <v>401</v>
      </c>
      <c r="C60" s="29" t="s">
        <v>999</v>
      </c>
      <c r="D60" s="22">
        <v>0</v>
      </c>
      <c r="E60" s="22">
        <v>0</v>
      </c>
      <c r="F60" s="22">
        <f>(tbl_materiales2[[#This Row],[CANTIDAD REQUERIDA]]-tbl_materiales2[[#This Row],[CANTIDAD ABASTECIDA]])</f>
        <v>0</v>
      </c>
      <c r="G60" s="25"/>
    </row>
    <row r="61" spans="1:7" x14ac:dyDescent="0.3">
      <c r="A61" s="2">
        <f t="shared" si="0"/>
        <v>54</v>
      </c>
      <c r="B61" s="2" t="s">
        <v>402</v>
      </c>
      <c r="C61" s="29" t="s">
        <v>998</v>
      </c>
      <c r="D61" s="22">
        <v>0</v>
      </c>
      <c r="E61" s="22">
        <v>0</v>
      </c>
      <c r="F61" s="22">
        <f>(tbl_materiales2[[#This Row],[CANTIDAD REQUERIDA]]-tbl_materiales2[[#This Row],[CANTIDAD ABASTECIDA]])</f>
        <v>0</v>
      </c>
      <c r="G61" s="25"/>
    </row>
    <row r="62" spans="1:7" x14ac:dyDescent="0.3">
      <c r="A62" s="2">
        <f t="shared" si="0"/>
        <v>55</v>
      </c>
      <c r="B62" s="2" t="s">
        <v>403</v>
      </c>
      <c r="C62" s="29" t="s">
        <v>1000</v>
      </c>
      <c r="D62" s="22">
        <v>0</v>
      </c>
      <c r="E62" s="22">
        <v>0</v>
      </c>
      <c r="F62" s="22">
        <f>(tbl_materiales2[[#This Row],[CANTIDAD REQUERIDA]]-tbl_materiales2[[#This Row],[CANTIDAD ABASTECIDA]])</f>
        <v>0</v>
      </c>
      <c r="G62" s="25"/>
    </row>
    <row r="63" spans="1:7" x14ac:dyDescent="0.3">
      <c r="A63" s="2">
        <f t="shared" si="0"/>
        <v>56</v>
      </c>
      <c r="B63" s="2" t="s">
        <v>404</v>
      </c>
      <c r="C63" s="29" t="s">
        <v>60</v>
      </c>
      <c r="D63" s="22">
        <v>0</v>
      </c>
      <c r="E63" s="22">
        <v>0</v>
      </c>
      <c r="F63" s="22">
        <f>(tbl_materiales2[[#This Row],[CANTIDAD REQUERIDA]]-tbl_materiales2[[#This Row],[CANTIDAD ABASTECIDA]])</f>
        <v>0</v>
      </c>
      <c r="G63" s="25"/>
    </row>
    <row r="64" spans="1:7" x14ac:dyDescent="0.3">
      <c r="A64" s="2">
        <f t="shared" si="0"/>
        <v>57</v>
      </c>
      <c r="B64" s="2" t="s">
        <v>405</v>
      </c>
      <c r="C64" s="29" t="s">
        <v>1102</v>
      </c>
      <c r="D64" s="22">
        <v>0</v>
      </c>
      <c r="E64" s="22">
        <v>0</v>
      </c>
      <c r="F64" s="22">
        <f>(tbl_materiales2[[#This Row],[CANTIDAD REQUERIDA]]-tbl_materiales2[[#This Row],[CANTIDAD ABASTECIDA]])</f>
        <v>0</v>
      </c>
      <c r="G64" s="25"/>
    </row>
    <row r="65" spans="1:7" x14ac:dyDescent="0.3">
      <c r="A65" s="2">
        <f t="shared" si="0"/>
        <v>58</v>
      </c>
      <c r="B65" s="2" t="s">
        <v>406</v>
      </c>
      <c r="C65" s="29" t="s">
        <v>1001</v>
      </c>
      <c r="D65" s="22">
        <v>0</v>
      </c>
      <c r="E65" s="22">
        <v>0</v>
      </c>
      <c r="F65" s="22">
        <f>(tbl_materiales2[[#This Row],[CANTIDAD REQUERIDA]]-tbl_materiales2[[#This Row],[CANTIDAD ABASTECIDA]])</f>
        <v>0</v>
      </c>
      <c r="G65" s="25"/>
    </row>
    <row r="66" spans="1:7" x14ac:dyDescent="0.3">
      <c r="A66" s="2">
        <f t="shared" si="0"/>
        <v>59</v>
      </c>
      <c r="B66" s="2" t="s">
        <v>407</v>
      </c>
      <c r="C66" s="29" t="s">
        <v>1002</v>
      </c>
      <c r="D66" s="22">
        <v>0</v>
      </c>
      <c r="E66" s="22">
        <v>0</v>
      </c>
      <c r="F66" s="22">
        <f>(tbl_materiales2[[#This Row],[CANTIDAD REQUERIDA]]-tbl_materiales2[[#This Row],[CANTIDAD ABASTECIDA]])</f>
        <v>0</v>
      </c>
      <c r="G66" s="25"/>
    </row>
    <row r="67" spans="1:7" x14ac:dyDescent="0.3">
      <c r="A67" s="2">
        <f t="shared" si="0"/>
        <v>60</v>
      </c>
      <c r="B67" s="2" t="s">
        <v>408</v>
      </c>
      <c r="C67" s="29" t="s">
        <v>1003</v>
      </c>
      <c r="D67" s="22">
        <v>0</v>
      </c>
      <c r="E67" s="22">
        <v>0</v>
      </c>
      <c r="F67" s="22">
        <f>(tbl_materiales2[[#This Row],[CANTIDAD REQUERIDA]]-tbl_materiales2[[#This Row],[CANTIDAD ABASTECIDA]])</f>
        <v>0</v>
      </c>
      <c r="G67" s="25"/>
    </row>
    <row r="68" spans="1:7" x14ac:dyDescent="0.3">
      <c r="A68" s="2">
        <f t="shared" si="0"/>
        <v>61</v>
      </c>
      <c r="B68" s="2" t="s">
        <v>409</v>
      </c>
      <c r="C68" s="29" t="s">
        <v>97</v>
      </c>
      <c r="D68" s="22">
        <v>0</v>
      </c>
      <c r="E68" s="22">
        <v>0</v>
      </c>
      <c r="F68" s="22">
        <f>(tbl_materiales2[[#This Row],[CANTIDAD REQUERIDA]]-tbl_materiales2[[#This Row],[CANTIDAD ABASTECIDA]])</f>
        <v>0</v>
      </c>
      <c r="G68" s="25"/>
    </row>
    <row r="69" spans="1:7" x14ac:dyDescent="0.3">
      <c r="A69" s="2">
        <f t="shared" si="0"/>
        <v>62</v>
      </c>
      <c r="B69" s="2" t="s">
        <v>410</v>
      </c>
      <c r="C69" s="29" t="s">
        <v>1004</v>
      </c>
      <c r="D69" s="22">
        <v>0</v>
      </c>
      <c r="E69" s="22">
        <v>0</v>
      </c>
      <c r="F69" s="22">
        <f>(tbl_materiales2[[#This Row],[CANTIDAD REQUERIDA]]-tbl_materiales2[[#This Row],[CANTIDAD ABASTECIDA]])</f>
        <v>0</v>
      </c>
      <c r="G69" s="25"/>
    </row>
    <row r="70" spans="1:7" x14ac:dyDescent="0.3">
      <c r="A70" s="2">
        <f t="shared" si="0"/>
        <v>63</v>
      </c>
      <c r="B70" s="2" t="s">
        <v>411</v>
      </c>
      <c r="C70" s="29" t="s">
        <v>20</v>
      </c>
      <c r="D70" s="22">
        <v>0</v>
      </c>
      <c r="E70" s="22">
        <v>0</v>
      </c>
      <c r="F70" s="22">
        <f>(tbl_materiales2[[#This Row],[CANTIDAD REQUERIDA]]-tbl_materiales2[[#This Row],[CANTIDAD ABASTECIDA]])</f>
        <v>0</v>
      </c>
      <c r="G70" s="25"/>
    </row>
    <row r="71" spans="1:7" x14ac:dyDescent="0.3">
      <c r="A71" s="2">
        <f t="shared" si="0"/>
        <v>64</v>
      </c>
      <c r="B71" s="2" t="s">
        <v>412</v>
      </c>
      <c r="C71" s="29" t="s">
        <v>94</v>
      </c>
      <c r="D71" s="22">
        <v>0</v>
      </c>
      <c r="E71" s="22">
        <v>0</v>
      </c>
      <c r="F71" s="22">
        <f>(tbl_materiales2[[#This Row],[CANTIDAD REQUERIDA]]-tbl_materiales2[[#This Row],[CANTIDAD ABASTECIDA]])</f>
        <v>0</v>
      </c>
      <c r="G71" s="25"/>
    </row>
    <row r="72" spans="1:7" x14ac:dyDescent="0.3">
      <c r="A72" s="154">
        <f t="shared" ref="A72:A135" si="1">ROW(A72)-7</f>
        <v>65</v>
      </c>
      <c r="B72" s="2" t="s">
        <v>1284</v>
      </c>
      <c r="C72" s="36" t="s">
        <v>1283</v>
      </c>
      <c r="D72" s="22">
        <v>0</v>
      </c>
      <c r="E72" s="22">
        <v>0</v>
      </c>
      <c r="F72" s="22">
        <f>(tbl_materiales2[[#This Row],[CANTIDAD REQUERIDA]]-tbl_materiales2[[#This Row],[CANTIDAD ABASTECIDA]])</f>
        <v>0</v>
      </c>
      <c r="G72" s="25"/>
    </row>
    <row r="73" spans="1:7" x14ac:dyDescent="0.3">
      <c r="A73" s="2">
        <f t="shared" si="1"/>
        <v>66</v>
      </c>
      <c r="B73" s="2" t="s">
        <v>413</v>
      </c>
      <c r="C73" s="30" t="s">
        <v>1005</v>
      </c>
      <c r="D73" s="22">
        <v>0</v>
      </c>
      <c r="E73" s="22">
        <v>0</v>
      </c>
      <c r="F73" s="22">
        <f>(tbl_materiales2[[#This Row],[CANTIDAD REQUERIDA]]-tbl_materiales2[[#This Row],[CANTIDAD ABASTECIDA]])</f>
        <v>0</v>
      </c>
      <c r="G73" s="25"/>
    </row>
    <row r="74" spans="1:7" x14ac:dyDescent="0.3">
      <c r="A74" s="2">
        <f t="shared" si="1"/>
        <v>67</v>
      </c>
      <c r="B74" s="2" t="s">
        <v>414</v>
      </c>
      <c r="C74" s="30" t="s">
        <v>1006</v>
      </c>
      <c r="D74" s="22">
        <v>0</v>
      </c>
      <c r="E74" s="22">
        <v>0</v>
      </c>
      <c r="F74" s="22">
        <f>(tbl_materiales2[[#This Row],[CANTIDAD REQUERIDA]]-tbl_materiales2[[#This Row],[CANTIDAD ABASTECIDA]])</f>
        <v>0</v>
      </c>
      <c r="G74" s="25"/>
    </row>
    <row r="75" spans="1:7" x14ac:dyDescent="0.3">
      <c r="A75" s="2">
        <f t="shared" si="1"/>
        <v>68</v>
      </c>
      <c r="B75" s="2" t="s">
        <v>415</v>
      </c>
      <c r="C75" s="30" t="s">
        <v>172</v>
      </c>
      <c r="D75" s="22">
        <v>0</v>
      </c>
      <c r="E75" s="22">
        <v>0</v>
      </c>
      <c r="F75" s="22">
        <f>(tbl_materiales2[[#This Row],[CANTIDAD REQUERIDA]]-tbl_materiales2[[#This Row],[CANTIDAD ABASTECIDA]])</f>
        <v>0</v>
      </c>
      <c r="G75" s="25"/>
    </row>
    <row r="76" spans="1:7" x14ac:dyDescent="0.3">
      <c r="A76" s="2">
        <f t="shared" si="1"/>
        <v>69</v>
      </c>
      <c r="B76" s="2" t="s">
        <v>416</v>
      </c>
      <c r="C76" s="30" t="s">
        <v>173</v>
      </c>
      <c r="D76" s="22">
        <v>0</v>
      </c>
      <c r="E76" s="22">
        <v>0</v>
      </c>
      <c r="F76" s="22">
        <f>(tbl_materiales2[[#This Row],[CANTIDAD REQUERIDA]]-tbl_materiales2[[#This Row],[CANTIDAD ABASTECIDA]])</f>
        <v>0</v>
      </c>
      <c r="G76" s="25"/>
    </row>
    <row r="77" spans="1:7" x14ac:dyDescent="0.3">
      <c r="A77" s="2">
        <f t="shared" si="1"/>
        <v>70</v>
      </c>
      <c r="B77" s="2" t="s">
        <v>417</v>
      </c>
      <c r="C77" s="30" t="s">
        <v>174</v>
      </c>
      <c r="D77" s="22">
        <v>0</v>
      </c>
      <c r="E77" s="22">
        <v>0</v>
      </c>
      <c r="F77" s="22">
        <f>(tbl_materiales2[[#This Row],[CANTIDAD REQUERIDA]]-tbl_materiales2[[#This Row],[CANTIDAD ABASTECIDA]])</f>
        <v>0</v>
      </c>
      <c r="G77" s="25"/>
    </row>
    <row r="78" spans="1:7" x14ac:dyDescent="0.3">
      <c r="A78" s="2">
        <f t="shared" si="1"/>
        <v>71</v>
      </c>
      <c r="B78" s="2" t="s">
        <v>418</v>
      </c>
      <c r="C78" s="30" t="s">
        <v>862</v>
      </c>
      <c r="D78" s="22">
        <v>0</v>
      </c>
      <c r="E78" s="22">
        <v>0</v>
      </c>
      <c r="F78" s="22">
        <f>(tbl_materiales2[[#This Row],[CANTIDAD REQUERIDA]]-tbl_materiales2[[#This Row],[CANTIDAD ABASTECIDA]])</f>
        <v>0</v>
      </c>
      <c r="G78" s="25"/>
    </row>
    <row r="79" spans="1:7" x14ac:dyDescent="0.3">
      <c r="A79" s="2">
        <f t="shared" si="1"/>
        <v>72</v>
      </c>
      <c r="B79" s="2" t="s">
        <v>419</v>
      </c>
      <c r="C79" s="29" t="s">
        <v>7</v>
      </c>
      <c r="D79" s="22">
        <v>0</v>
      </c>
      <c r="E79" s="22">
        <v>0</v>
      </c>
      <c r="F79" s="22">
        <f>(tbl_materiales2[[#This Row],[CANTIDAD REQUERIDA]]-tbl_materiales2[[#This Row],[CANTIDAD ABASTECIDA]])</f>
        <v>0</v>
      </c>
      <c r="G79" s="25"/>
    </row>
    <row r="80" spans="1:7" x14ac:dyDescent="0.3">
      <c r="A80" s="2">
        <f t="shared" si="1"/>
        <v>73</v>
      </c>
      <c r="B80" s="2" t="s">
        <v>420</v>
      </c>
      <c r="C80" s="29" t="s">
        <v>81</v>
      </c>
      <c r="D80" s="22">
        <v>0</v>
      </c>
      <c r="E80" s="22">
        <v>0</v>
      </c>
      <c r="F80" s="22">
        <f>(tbl_materiales2[[#This Row],[CANTIDAD REQUERIDA]]-tbl_materiales2[[#This Row],[CANTIDAD ABASTECIDA]])</f>
        <v>0</v>
      </c>
      <c r="G80" s="25"/>
    </row>
    <row r="81" spans="1:7" x14ac:dyDescent="0.3">
      <c r="A81" s="2">
        <f t="shared" si="1"/>
        <v>74</v>
      </c>
      <c r="B81" s="2" t="s">
        <v>421</v>
      </c>
      <c r="C81" s="29" t="s">
        <v>1094</v>
      </c>
      <c r="D81" s="22">
        <v>0</v>
      </c>
      <c r="E81" s="22">
        <v>0</v>
      </c>
      <c r="F81" s="22">
        <f>(tbl_materiales2[[#This Row],[CANTIDAD REQUERIDA]]-tbl_materiales2[[#This Row],[CANTIDAD ABASTECIDA]])</f>
        <v>0</v>
      </c>
      <c r="G81" s="25"/>
    </row>
    <row r="82" spans="1:7" x14ac:dyDescent="0.3">
      <c r="A82" s="2">
        <f t="shared" si="1"/>
        <v>75</v>
      </c>
      <c r="B82" s="2" t="s">
        <v>422</v>
      </c>
      <c r="C82" s="29" t="s">
        <v>1095</v>
      </c>
      <c r="D82" s="22">
        <v>0</v>
      </c>
      <c r="E82" s="22">
        <v>0</v>
      </c>
      <c r="F82" s="22">
        <f>(tbl_materiales2[[#This Row],[CANTIDAD REQUERIDA]]-tbl_materiales2[[#This Row],[CANTIDAD ABASTECIDA]])</f>
        <v>0</v>
      </c>
      <c r="G82" s="25"/>
    </row>
    <row r="83" spans="1:7" x14ac:dyDescent="0.3">
      <c r="A83" s="2">
        <f t="shared" si="1"/>
        <v>76</v>
      </c>
      <c r="B83" s="2" t="s">
        <v>423</v>
      </c>
      <c r="C83" s="29" t="s">
        <v>1096</v>
      </c>
      <c r="D83" s="22">
        <v>0</v>
      </c>
      <c r="E83" s="22">
        <v>0</v>
      </c>
      <c r="F83" s="22">
        <f>(tbl_materiales2[[#This Row],[CANTIDAD REQUERIDA]]-tbl_materiales2[[#This Row],[CANTIDAD ABASTECIDA]])</f>
        <v>0</v>
      </c>
      <c r="G83" s="25"/>
    </row>
    <row r="84" spans="1:7" x14ac:dyDescent="0.3">
      <c r="A84" s="2">
        <f t="shared" si="1"/>
        <v>77</v>
      </c>
      <c r="B84" s="2" t="s">
        <v>424</v>
      </c>
      <c r="C84" s="29" t="s">
        <v>1097</v>
      </c>
      <c r="D84" s="22">
        <v>0</v>
      </c>
      <c r="E84" s="22">
        <v>0</v>
      </c>
      <c r="F84" s="22">
        <f>(tbl_materiales2[[#This Row],[CANTIDAD REQUERIDA]]-tbl_materiales2[[#This Row],[CANTIDAD ABASTECIDA]])</f>
        <v>0</v>
      </c>
      <c r="G84" s="25"/>
    </row>
    <row r="85" spans="1:7" x14ac:dyDescent="0.3">
      <c r="A85" s="2">
        <f t="shared" si="1"/>
        <v>78</v>
      </c>
      <c r="B85" s="2" t="s">
        <v>425</v>
      </c>
      <c r="C85" s="29" t="s">
        <v>1007</v>
      </c>
      <c r="D85" s="22">
        <v>0</v>
      </c>
      <c r="E85" s="22">
        <v>0</v>
      </c>
      <c r="F85" s="22">
        <f>(tbl_materiales2[[#This Row],[CANTIDAD REQUERIDA]]-tbl_materiales2[[#This Row],[CANTIDAD ABASTECIDA]])</f>
        <v>0</v>
      </c>
      <c r="G85" s="25"/>
    </row>
    <row r="86" spans="1:7" x14ac:dyDescent="0.3">
      <c r="A86" s="2">
        <f t="shared" si="1"/>
        <v>79</v>
      </c>
      <c r="B86" s="2" t="s">
        <v>426</v>
      </c>
      <c r="C86" s="29" t="s">
        <v>1098</v>
      </c>
      <c r="D86" s="22">
        <v>0</v>
      </c>
      <c r="E86" s="22">
        <v>0</v>
      </c>
      <c r="F86" s="22">
        <f>(tbl_materiales2[[#This Row],[CANTIDAD REQUERIDA]]-tbl_materiales2[[#This Row],[CANTIDAD ABASTECIDA]])</f>
        <v>0</v>
      </c>
      <c r="G86" s="25"/>
    </row>
    <row r="87" spans="1:7" x14ac:dyDescent="0.3">
      <c r="A87" s="2">
        <f t="shared" si="1"/>
        <v>80</v>
      </c>
      <c r="B87" s="2" t="s">
        <v>427</v>
      </c>
      <c r="C87" s="29" t="s">
        <v>1099</v>
      </c>
      <c r="D87" s="22">
        <v>0</v>
      </c>
      <c r="E87" s="22">
        <v>0</v>
      </c>
      <c r="F87" s="22">
        <f>(tbl_materiales2[[#This Row],[CANTIDAD REQUERIDA]]-tbl_materiales2[[#This Row],[CANTIDAD ABASTECIDA]])</f>
        <v>0</v>
      </c>
      <c r="G87" s="25"/>
    </row>
    <row r="88" spans="1:7" x14ac:dyDescent="0.3">
      <c r="A88" s="2">
        <f t="shared" si="1"/>
        <v>81</v>
      </c>
      <c r="B88" s="2" t="s">
        <v>428</v>
      </c>
      <c r="C88" s="29" t="s">
        <v>1100</v>
      </c>
      <c r="D88" s="22">
        <v>0</v>
      </c>
      <c r="E88" s="22">
        <v>0</v>
      </c>
      <c r="F88" s="22">
        <f>(tbl_materiales2[[#This Row],[CANTIDAD REQUERIDA]]-tbl_materiales2[[#This Row],[CANTIDAD ABASTECIDA]])</f>
        <v>0</v>
      </c>
      <c r="G88" s="25"/>
    </row>
    <row r="89" spans="1:7" x14ac:dyDescent="0.3">
      <c r="A89" s="2">
        <f t="shared" si="1"/>
        <v>82</v>
      </c>
      <c r="B89" s="2" t="s">
        <v>429</v>
      </c>
      <c r="C89" s="29" t="s">
        <v>1101</v>
      </c>
      <c r="D89" s="22">
        <v>0</v>
      </c>
      <c r="E89" s="22">
        <v>0</v>
      </c>
      <c r="F89" s="22">
        <f>(tbl_materiales2[[#This Row],[CANTIDAD REQUERIDA]]-tbl_materiales2[[#This Row],[CANTIDAD ABASTECIDA]])</f>
        <v>0</v>
      </c>
      <c r="G89" s="25"/>
    </row>
    <row r="90" spans="1:7" x14ac:dyDescent="0.3">
      <c r="A90" s="2">
        <f t="shared" si="1"/>
        <v>83</v>
      </c>
      <c r="B90" s="2" t="s">
        <v>430</v>
      </c>
      <c r="C90" s="31" t="s">
        <v>768</v>
      </c>
      <c r="D90" s="22">
        <v>0</v>
      </c>
      <c r="E90" s="22">
        <v>0</v>
      </c>
      <c r="F90" s="22">
        <f>(tbl_materiales2[[#This Row],[CANTIDAD REQUERIDA]]-tbl_materiales2[[#This Row],[CANTIDAD ABASTECIDA]])</f>
        <v>0</v>
      </c>
      <c r="G90" s="25"/>
    </row>
    <row r="91" spans="1:7" x14ac:dyDescent="0.3">
      <c r="A91" s="2">
        <f t="shared" si="1"/>
        <v>84</v>
      </c>
      <c r="B91" s="2" t="s">
        <v>431</v>
      </c>
      <c r="C91" s="29" t="s">
        <v>1219</v>
      </c>
      <c r="D91" s="22">
        <v>0</v>
      </c>
      <c r="E91" s="22">
        <v>0</v>
      </c>
      <c r="F91" s="22">
        <f>(tbl_materiales2[[#This Row],[CANTIDAD REQUERIDA]]-tbl_materiales2[[#This Row],[CANTIDAD ABASTECIDA]])</f>
        <v>0</v>
      </c>
      <c r="G91" s="25"/>
    </row>
    <row r="92" spans="1:7" x14ac:dyDescent="0.3">
      <c r="A92" s="2">
        <f t="shared" si="1"/>
        <v>85</v>
      </c>
      <c r="B92" s="2" t="s">
        <v>432</v>
      </c>
      <c r="C92" s="30" t="s">
        <v>1220</v>
      </c>
      <c r="D92" s="22">
        <v>0</v>
      </c>
      <c r="E92" s="22">
        <v>0</v>
      </c>
      <c r="F92" s="22">
        <f>(tbl_materiales2[[#This Row],[CANTIDAD REQUERIDA]]-tbl_materiales2[[#This Row],[CANTIDAD ABASTECIDA]])</f>
        <v>0</v>
      </c>
      <c r="G92" s="25"/>
    </row>
    <row r="93" spans="1:7" x14ac:dyDescent="0.3">
      <c r="A93" s="2">
        <f t="shared" si="1"/>
        <v>86</v>
      </c>
      <c r="B93" s="2" t="s">
        <v>433</v>
      </c>
      <c r="C93" s="29" t="s">
        <v>1009</v>
      </c>
      <c r="D93" s="22">
        <v>0</v>
      </c>
      <c r="E93" s="22">
        <v>0</v>
      </c>
      <c r="F93" s="22">
        <f>(tbl_materiales2[[#This Row],[CANTIDAD REQUERIDA]]-tbl_materiales2[[#This Row],[CANTIDAD ABASTECIDA]])</f>
        <v>0</v>
      </c>
      <c r="G93" s="25"/>
    </row>
    <row r="94" spans="1:7" x14ac:dyDescent="0.3">
      <c r="A94" s="2">
        <f t="shared" si="1"/>
        <v>87</v>
      </c>
      <c r="B94" s="2" t="s">
        <v>434</v>
      </c>
      <c r="C94" s="30" t="s">
        <v>1008</v>
      </c>
      <c r="D94" s="22">
        <v>0</v>
      </c>
      <c r="E94" s="22">
        <v>0</v>
      </c>
      <c r="F94" s="22">
        <f>(tbl_materiales2[[#This Row],[CANTIDAD REQUERIDA]]-tbl_materiales2[[#This Row],[CANTIDAD ABASTECIDA]])</f>
        <v>0</v>
      </c>
      <c r="G94" s="25"/>
    </row>
    <row r="95" spans="1:7" x14ac:dyDescent="0.3">
      <c r="A95" s="2">
        <f t="shared" si="1"/>
        <v>88</v>
      </c>
      <c r="B95" s="2" t="s">
        <v>435</v>
      </c>
      <c r="C95" s="29" t="s">
        <v>1103</v>
      </c>
      <c r="D95" s="22">
        <v>0</v>
      </c>
      <c r="E95" s="22">
        <v>0</v>
      </c>
      <c r="F95" s="22">
        <f>(tbl_materiales2[[#This Row],[CANTIDAD REQUERIDA]]-tbl_materiales2[[#This Row],[CANTIDAD ABASTECIDA]])</f>
        <v>0</v>
      </c>
      <c r="G95" s="25"/>
    </row>
    <row r="96" spans="1:7" x14ac:dyDescent="0.3">
      <c r="A96" s="2">
        <f t="shared" si="1"/>
        <v>89</v>
      </c>
      <c r="B96" s="2" t="s">
        <v>436</v>
      </c>
      <c r="C96" s="29" t="s">
        <v>119</v>
      </c>
      <c r="D96" s="22">
        <v>0</v>
      </c>
      <c r="E96" s="22">
        <v>0</v>
      </c>
      <c r="F96" s="22">
        <f>(tbl_materiales2[[#This Row],[CANTIDAD REQUERIDA]]-tbl_materiales2[[#This Row],[CANTIDAD ABASTECIDA]])</f>
        <v>0</v>
      </c>
      <c r="G96" s="25"/>
    </row>
    <row r="97" spans="1:7" x14ac:dyDescent="0.3">
      <c r="A97" s="154">
        <f t="shared" si="1"/>
        <v>90</v>
      </c>
      <c r="B97" s="2" t="s">
        <v>1396</v>
      </c>
      <c r="C97" s="36" t="s">
        <v>1395</v>
      </c>
      <c r="D97" s="22">
        <v>0</v>
      </c>
      <c r="E97" s="22">
        <v>0</v>
      </c>
      <c r="F97" s="22">
        <f>(tbl_materiales2[[#This Row],[CANTIDAD REQUERIDA]]-tbl_materiales2[[#This Row],[CANTIDAD ABASTECIDA]])</f>
        <v>0</v>
      </c>
      <c r="G97" s="25"/>
    </row>
    <row r="98" spans="1:7" x14ac:dyDescent="0.3">
      <c r="A98" s="154">
        <f t="shared" si="1"/>
        <v>91</v>
      </c>
      <c r="B98" s="2" t="s">
        <v>1393</v>
      </c>
      <c r="C98" s="36" t="s">
        <v>1394</v>
      </c>
      <c r="D98" s="22">
        <v>0</v>
      </c>
      <c r="E98" s="22">
        <v>0</v>
      </c>
      <c r="F98" s="22">
        <f>(tbl_materiales2[[#This Row],[CANTIDAD REQUERIDA]]-tbl_materiales2[[#This Row],[CANTIDAD ABASTECIDA]])</f>
        <v>0</v>
      </c>
      <c r="G98" s="25"/>
    </row>
    <row r="99" spans="1:7" x14ac:dyDescent="0.3">
      <c r="A99" s="2">
        <f t="shared" si="1"/>
        <v>92</v>
      </c>
      <c r="B99" s="2" t="s">
        <v>437</v>
      </c>
      <c r="C99" s="29" t="s">
        <v>118</v>
      </c>
      <c r="D99" s="22">
        <v>0</v>
      </c>
      <c r="E99" s="22">
        <v>0</v>
      </c>
      <c r="F99" s="22">
        <f>(tbl_materiales2[[#This Row],[CANTIDAD REQUERIDA]]-tbl_materiales2[[#This Row],[CANTIDAD ABASTECIDA]])</f>
        <v>0</v>
      </c>
      <c r="G99" s="25"/>
    </row>
    <row r="100" spans="1:7" x14ac:dyDescent="0.3">
      <c r="A100" s="2">
        <f t="shared" si="1"/>
        <v>93</v>
      </c>
      <c r="B100" s="2" t="s">
        <v>438</v>
      </c>
      <c r="C100" s="29" t="s">
        <v>111</v>
      </c>
      <c r="D100" s="22">
        <v>0</v>
      </c>
      <c r="E100" s="22">
        <v>0</v>
      </c>
      <c r="F100" s="22">
        <f>(tbl_materiales2[[#This Row],[CANTIDAD REQUERIDA]]-tbl_materiales2[[#This Row],[CANTIDAD ABASTECIDA]])</f>
        <v>0</v>
      </c>
      <c r="G100" s="25"/>
    </row>
    <row r="101" spans="1:7" x14ac:dyDescent="0.3">
      <c r="A101" s="2">
        <f t="shared" si="1"/>
        <v>94</v>
      </c>
      <c r="B101" s="2" t="s">
        <v>449</v>
      </c>
      <c r="C101" s="30" t="s">
        <v>1440</v>
      </c>
      <c r="D101" s="22">
        <v>0</v>
      </c>
      <c r="E101" s="22">
        <v>0</v>
      </c>
      <c r="F101" s="22">
        <f>(tbl_materiales2[[#This Row],[CANTIDAD REQUERIDA]]-tbl_materiales2[[#This Row],[CANTIDAD ABASTECIDA]])</f>
        <v>0</v>
      </c>
      <c r="G101" s="25"/>
    </row>
    <row r="102" spans="1:7" x14ac:dyDescent="0.3">
      <c r="A102" s="154">
        <f t="shared" si="1"/>
        <v>95</v>
      </c>
      <c r="B102" s="2" t="s">
        <v>1420</v>
      </c>
      <c r="C102" s="36" t="s">
        <v>1419</v>
      </c>
      <c r="D102" s="22">
        <v>0</v>
      </c>
      <c r="E102" s="22">
        <v>0</v>
      </c>
      <c r="F102" s="22">
        <f>(tbl_materiales2[[#This Row],[CANTIDAD REQUERIDA]]-tbl_materiales2[[#This Row],[CANTIDAD ABASTECIDA]])</f>
        <v>0</v>
      </c>
      <c r="G102" s="25"/>
    </row>
    <row r="103" spans="1:7" x14ac:dyDescent="0.3">
      <c r="A103" s="154">
        <f t="shared" si="1"/>
        <v>96</v>
      </c>
      <c r="B103" s="2" t="s">
        <v>1418</v>
      </c>
      <c r="C103" s="36" t="s">
        <v>1417</v>
      </c>
      <c r="D103" s="22">
        <v>0</v>
      </c>
      <c r="E103" s="22">
        <v>0</v>
      </c>
      <c r="F103" s="22">
        <f>(tbl_materiales2[[#This Row],[CANTIDAD REQUERIDA]]-tbl_materiales2[[#This Row],[CANTIDAD ABASTECIDA]])</f>
        <v>0</v>
      </c>
      <c r="G103" s="25"/>
    </row>
    <row r="104" spans="1:7" x14ac:dyDescent="0.3">
      <c r="A104" s="2">
        <f t="shared" si="1"/>
        <v>97</v>
      </c>
      <c r="B104" s="2" t="s">
        <v>439</v>
      </c>
      <c r="C104" s="29" t="s">
        <v>105</v>
      </c>
      <c r="D104" s="22">
        <v>0</v>
      </c>
      <c r="E104" s="22">
        <v>0</v>
      </c>
      <c r="F104" s="22">
        <f>(tbl_materiales2[[#This Row],[CANTIDAD REQUERIDA]]-tbl_materiales2[[#This Row],[CANTIDAD ABASTECIDA]])</f>
        <v>0</v>
      </c>
      <c r="G104" s="25"/>
    </row>
    <row r="105" spans="1:7" x14ac:dyDescent="0.3">
      <c r="A105" s="2">
        <f t="shared" si="1"/>
        <v>98</v>
      </c>
      <c r="B105" s="2" t="s">
        <v>440</v>
      </c>
      <c r="C105" s="29" t="s">
        <v>1010</v>
      </c>
      <c r="D105" s="22">
        <v>0</v>
      </c>
      <c r="E105" s="22">
        <v>0</v>
      </c>
      <c r="F105" s="22">
        <f>(tbl_materiales2[[#This Row],[CANTIDAD REQUERIDA]]-tbl_materiales2[[#This Row],[CANTIDAD ABASTECIDA]])</f>
        <v>0</v>
      </c>
      <c r="G105" s="25"/>
    </row>
    <row r="106" spans="1:7" x14ac:dyDescent="0.3">
      <c r="A106" s="154">
        <f t="shared" si="1"/>
        <v>99</v>
      </c>
      <c r="B106" s="2" t="s">
        <v>1390</v>
      </c>
      <c r="C106" s="36" t="s">
        <v>1389</v>
      </c>
      <c r="D106" s="22">
        <v>0</v>
      </c>
      <c r="E106" s="22">
        <v>0</v>
      </c>
      <c r="F106" s="22">
        <f>(tbl_materiales2[[#This Row],[CANTIDAD REQUERIDA]]-tbl_materiales2[[#This Row],[CANTIDAD ABASTECIDA]])</f>
        <v>0</v>
      </c>
      <c r="G106" s="25"/>
    </row>
    <row r="107" spans="1:7" x14ac:dyDescent="0.3">
      <c r="A107" s="154">
        <f t="shared" si="1"/>
        <v>100</v>
      </c>
      <c r="B107" s="2" t="s">
        <v>1392</v>
      </c>
      <c r="C107" s="36" t="s">
        <v>1391</v>
      </c>
      <c r="D107" s="22">
        <v>0</v>
      </c>
      <c r="E107" s="22">
        <v>0</v>
      </c>
      <c r="F107" s="22">
        <f>(tbl_materiales2[[#This Row],[CANTIDAD REQUERIDA]]-tbl_materiales2[[#This Row],[CANTIDAD ABASTECIDA]])</f>
        <v>0</v>
      </c>
      <c r="G107" s="25"/>
    </row>
    <row r="108" spans="1:7" x14ac:dyDescent="0.3">
      <c r="A108" s="2">
        <f t="shared" si="1"/>
        <v>101</v>
      </c>
      <c r="B108" s="2" t="s">
        <v>441</v>
      </c>
      <c r="C108" s="29" t="s">
        <v>58</v>
      </c>
      <c r="D108" s="22">
        <v>0</v>
      </c>
      <c r="E108" s="22">
        <v>0</v>
      </c>
      <c r="F108" s="22">
        <f>(tbl_materiales2[[#This Row],[CANTIDAD REQUERIDA]]-tbl_materiales2[[#This Row],[CANTIDAD ABASTECIDA]])</f>
        <v>0</v>
      </c>
      <c r="G108" s="25"/>
    </row>
    <row r="109" spans="1:7" x14ac:dyDescent="0.3">
      <c r="A109" s="2">
        <f t="shared" si="1"/>
        <v>102</v>
      </c>
      <c r="B109" s="2" t="s">
        <v>442</v>
      </c>
      <c r="C109" s="29" t="s">
        <v>99</v>
      </c>
      <c r="D109" s="22">
        <v>0</v>
      </c>
      <c r="E109" s="22">
        <v>0</v>
      </c>
      <c r="F109" s="22">
        <f>(tbl_materiales2[[#This Row],[CANTIDAD REQUERIDA]]-tbl_materiales2[[#This Row],[CANTIDAD ABASTECIDA]])</f>
        <v>0</v>
      </c>
      <c r="G109" s="25"/>
    </row>
    <row r="110" spans="1:7" x14ac:dyDescent="0.3">
      <c r="A110" s="2">
        <f t="shared" si="1"/>
        <v>103</v>
      </c>
      <c r="B110" s="2" t="s">
        <v>443</v>
      </c>
      <c r="C110" s="29" t="s">
        <v>120</v>
      </c>
      <c r="D110" s="22">
        <v>0</v>
      </c>
      <c r="E110" s="22">
        <v>0</v>
      </c>
      <c r="F110" s="22">
        <f>(tbl_materiales2[[#This Row],[CANTIDAD REQUERIDA]]-tbl_materiales2[[#This Row],[CANTIDAD ABASTECIDA]])</f>
        <v>0</v>
      </c>
      <c r="G110" s="25"/>
    </row>
    <row r="111" spans="1:7" x14ac:dyDescent="0.3">
      <c r="A111" s="154">
        <f t="shared" si="1"/>
        <v>104</v>
      </c>
      <c r="B111" s="2" t="s">
        <v>1416</v>
      </c>
      <c r="C111" s="36" t="s">
        <v>1415</v>
      </c>
      <c r="D111" s="22">
        <v>0</v>
      </c>
      <c r="E111" s="22">
        <v>0</v>
      </c>
      <c r="F111" s="22">
        <f>(tbl_materiales2[[#This Row],[CANTIDAD REQUERIDA]]-tbl_materiales2[[#This Row],[CANTIDAD ABASTECIDA]])</f>
        <v>0</v>
      </c>
      <c r="G111" s="25"/>
    </row>
    <row r="112" spans="1:7" x14ac:dyDescent="0.3">
      <c r="A112" s="154">
        <f t="shared" si="1"/>
        <v>105</v>
      </c>
      <c r="B112" s="2" t="s">
        <v>1398</v>
      </c>
      <c r="C112" s="36" t="s">
        <v>1397</v>
      </c>
      <c r="D112" s="22">
        <v>0</v>
      </c>
      <c r="E112" s="22">
        <v>0</v>
      </c>
      <c r="F112" s="22">
        <f>(tbl_materiales2[[#This Row],[CANTIDAD REQUERIDA]]-tbl_materiales2[[#This Row],[CANTIDAD ABASTECIDA]])</f>
        <v>0</v>
      </c>
      <c r="G112" s="25"/>
    </row>
    <row r="113" spans="1:7" x14ac:dyDescent="0.3">
      <c r="A113" s="2">
        <f t="shared" si="1"/>
        <v>106</v>
      </c>
      <c r="B113" s="2" t="s">
        <v>444</v>
      </c>
      <c r="C113" s="29" t="s">
        <v>103</v>
      </c>
      <c r="D113" s="22">
        <v>0</v>
      </c>
      <c r="E113" s="22">
        <v>0</v>
      </c>
      <c r="F113" s="22">
        <f>(tbl_materiales2[[#This Row],[CANTIDAD REQUERIDA]]-tbl_materiales2[[#This Row],[CANTIDAD ABASTECIDA]])</f>
        <v>0</v>
      </c>
      <c r="G113" s="25"/>
    </row>
    <row r="114" spans="1:7" x14ac:dyDescent="0.3">
      <c r="A114" s="2">
        <f t="shared" si="1"/>
        <v>107</v>
      </c>
      <c r="B114" s="2" t="s">
        <v>445</v>
      </c>
      <c r="C114" s="29" t="s">
        <v>1011</v>
      </c>
      <c r="D114" s="22">
        <v>0</v>
      </c>
      <c r="E114" s="22">
        <v>0</v>
      </c>
      <c r="F114" s="22">
        <f>(tbl_materiales2[[#This Row],[CANTIDAD REQUERIDA]]-tbl_materiales2[[#This Row],[CANTIDAD ABASTECIDA]])</f>
        <v>0</v>
      </c>
      <c r="G114" s="25"/>
    </row>
    <row r="115" spans="1:7" x14ac:dyDescent="0.3">
      <c r="A115" s="2">
        <f t="shared" si="1"/>
        <v>108</v>
      </c>
      <c r="B115" s="2" t="s">
        <v>446</v>
      </c>
      <c r="C115" s="29" t="s">
        <v>132</v>
      </c>
      <c r="D115" s="22">
        <v>0</v>
      </c>
      <c r="E115" s="22">
        <v>0</v>
      </c>
      <c r="F115" s="22">
        <f>(tbl_materiales2[[#This Row],[CANTIDAD REQUERIDA]]-tbl_materiales2[[#This Row],[CANTIDAD ABASTECIDA]])</f>
        <v>0</v>
      </c>
      <c r="G115" s="25"/>
    </row>
    <row r="116" spans="1:7" x14ac:dyDescent="0.3">
      <c r="A116" s="2">
        <f t="shared" si="1"/>
        <v>109</v>
      </c>
      <c r="B116" s="2" t="s">
        <v>447</v>
      </c>
      <c r="C116" s="29" t="s">
        <v>1012</v>
      </c>
      <c r="D116" s="22">
        <v>0</v>
      </c>
      <c r="E116" s="22">
        <v>0</v>
      </c>
      <c r="F116" s="22">
        <f>(tbl_materiales2[[#This Row],[CANTIDAD REQUERIDA]]-tbl_materiales2[[#This Row],[CANTIDAD ABASTECIDA]])</f>
        <v>0</v>
      </c>
      <c r="G116" s="25"/>
    </row>
    <row r="117" spans="1:7" x14ac:dyDescent="0.3">
      <c r="A117" s="2">
        <f t="shared" si="1"/>
        <v>110</v>
      </c>
      <c r="B117" s="2" t="s">
        <v>448</v>
      </c>
      <c r="C117" s="29" t="s">
        <v>1013</v>
      </c>
      <c r="D117" s="22">
        <v>0</v>
      </c>
      <c r="E117" s="22">
        <v>0</v>
      </c>
      <c r="F117" s="22">
        <f>(tbl_materiales2[[#This Row],[CANTIDAD REQUERIDA]]-tbl_materiales2[[#This Row],[CANTIDAD ABASTECIDA]])</f>
        <v>0</v>
      </c>
      <c r="G117" s="25"/>
    </row>
    <row r="118" spans="1:7" x14ac:dyDescent="0.3">
      <c r="A118" s="2">
        <f t="shared" si="1"/>
        <v>111</v>
      </c>
      <c r="B118" s="2" t="s">
        <v>450</v>
      </c>
      <c r="C118" s="29" t="s">
        <v>68</v>
      </c>
      <c r="D118" s="22">
        <v>0</v>
      </c>
      <c r="E118" s="22">
        <v>0</v>
      </c>
      <c r="F118" s="22">
        <f>(tbl_materiales2[[#This Row],[CANTIDAD REQUERIDA]]-tbl_materiales2[[#This Row],[CANTIDAD ABASTECIDA]])</f>
        <v>0</v>
      </c>
      <c r="G118" s="25"/>
    </row>
    <row r="119" spans="1:7" x14ac:dyDescent="0.3">
      <c r="A119" s="2">
        <f t="shared" si="1"/>
        <v>112</v>
      </c>
      <c r="B119" s="2" t="s">
        <v>451</v>
      </c>
      <c r="C119" s="29" t="s">
        <v>124</v>
      </c>
      <c r="D119" s="22">
        <v>0</v>
      </c>
      <c r="E119" s="22">
        <v>0</v>
      </c>
      <c r="F119" s="22">
        <f>(tbl_materiales2[[#This Row],[CANTIDAD REQUERIDA]]-tbl_materiales2[[#This Row],[CANTIDAD ABASTECIDA]])</f>
        <v>0</v>
      </c>
      <c r="G119" s="25"/>
    </row>
    <row r="120" spans="1:7" x14ac:dyDescent="0.3">
      <c r="A120" s="2">
        <f t="shared" si="1"/>
        <v>113</v>
      </c>
      <c r="B120" s="2" t="s">
        <v>452</v>
      </c>
      <c r="C120" s="29" t="s">
        <v>1017</v>
      </c>
      <c r="D120" s="22">
        <v>0</v>
      </c>
      <c r="E120" s="22">
        <v>0</v>
      </c>
      <c r="F120" s="22">
        <f>(tbl_materiales2[[#This Row],[CANTIDAD REQUERIDA]]-tbl_materiales2[[#This Row],[CANTIDAD ABASTECIDA]])</f>
        <v>0</v>
      </c>
      <c r="G120" s="25"/>
    </row>
    <row r="121" spans="1:7" x14ac:dyDescent="0.3">
      <c r="A121" s="2">
        <f t="shared" si="1"/>
        <v>114</v>
      </c>
      <c r="B121" s="2" t="s">
        <v>453</v>
      </c>
      <c r="C121" s="29" t="s">
        <v>135</v>
      </c>
      <c r="D121" s="22">
        <v>0</v>
      </c>
      <c r="E121" s="22">
        <v>0</v>
      </c>
      <c r="F121" s="22">
        <f>(tbl_materiales2[[#This Row],[CANTIDAD REQUERIDA]]-tbl_materiales2[[#This Row],[CANTIDAD ABASTECIDA]])</f>
        <v>0</v>
      </c>
      <c r="G121" s="25"/>
    </row>
    <row r="122" spans="1:7" x14ac:dyDescent="0.3">
      <c r="A122" s="2">
        <f t="shared" si="1"/>
        <v>115</v>
      </c>
      <c r="B122" s="2" t="s">
        <v>454</v>
      </c>
      <c r="C122" s="29" t="s">
        <v>53</v>
      </c>
      <c r="D122" s="22">
        <v>0</v>
      </c>
      <c r="E122" s="22">
        <v>0</v>
      </c>
      <c r="F122" s="22">
        <f>(tbl_materiales2[[#This Row],[CANTIDAD REQUERIDA]]-tbl_materiales2[[#This Row],[CANTIDAD ABASTECIDA]])</f>
        <v>0</v>
      </c>
      <c r="G122" s="25"/>
    </row>
    <row r="123" spans="1:7" x14ac:dyDescent="0.3">
      <c r="A123" s="2">
        <f t="shared" si="1"/>
        <v>116</v>
      </c>
      <c r="B123" s="2" t="s">
        <v>455</v>
      </c>
      <c r="C123" s="29" t="s">
        <v>1015</v>
      </c>
      <c r="D123" s="22">
        <v>0</v>
      </c>
      <c r="E123" s="22">
        <v>0</v>
      </c>
      <c r="F123" s="22">
        <f>(tbl_materiales2[[#This Row],[CANTIDAD REQUERIDA]]-tbl_materiales2[[#This Row],[CANTIDAD ABASTECIDA]])</f>
        <v>0</v>
      </c>
      <c r="G123" s="25"/>
    </row>
    <row r="124" spans="1:7" x14ac:dyDescent="0.3">
      <c r="A124" s="2">
        <f t="shared" si="1"/>
        <v>117</v>
      </c>
      <c r="B124" s="2" t="s">
        <v>456</v>
      </c>
      <c r="C124" s="29" t="s">
        <v>1016</v>
      </c>
      <c r="D124" s="22">
        <v>0</v>
      </c>
      <c r="E124" s="22">
        <v>0</v>
      </c>
      <c r="F124" s="22">
        <f>(tbl_materiales2[[#This Row],[CANTIDAD REQUERIDA]]-tbl_materiales2[[#This Row],[CANTIDAD ABASTECIDA]])</f>
        <v>0</v>
      </c>
      <c r="G124" s="25"/>
    </row>
    <row r="125" spans="1:7" x14ac:dyDescent="0.3">
      <c r="A125" s="2">
        <f t="shared" si="1"/>
        <v>118</v>
      </c>
      <c r="B125" s="2" t="s">
        <v>457</v>
      </c>
      <c r="C125" s="29" t="s">
        <v>51</v>
      </c>
      <c r="D125" s="22">
        <v>0</v>
      </c>
      <c r="E125" s="22">
        <v>0</v>
      </c>
      <c r="F125" s="22">
        <f>(tbl_materiales2[[#This Row],[CANTIDAD REQUERIDA]]-tbl_materiales2[[#This Row],[CANTIDAD ABASTECIDA]])</f>
        <v>0</v>
      </c>
      <c r="G125" s="25"/>
    </row>
    <row r="126" spans="1:7" x14ac:dyDescent="0.3">
      <c r="A126" s="2">
        <f t="shared" si="1"/>
        <v>119</v>
      </c>
      <c r="B126" s="2" t="s">
        <v>458</v>
      </c>
      <c r="C126" s="31" t="s">
        <v>866</v>
      </c>
      <c r="D126" s="22">
        <v>0</v>
      </c>
      <c r="E126" s="22">
        <v>0</v>
      </c>
      <c r="F126" s="22">
        <f>(tbl_materiales2[[#This Row],[CANTIDAD REQUERIDA]]-tbl_materiales2[[#This Row],[CANTIDAD ABASTECIDA]])</f>
        <v>0</v>
      </c>
      <c r="G126" s="25"/>
    </row>
    <row r="127" spans="1:7" x14ac:dyDescent="0.3">
      <c r="A127" s="2">
        <f t="shared" si="1"/>
        <v>120</v>
      </c>
      <c r="B127" s="2" t="s">
        <v>459</v>
      </c>
      <c r="C127" s="29" t="s">
        <v>25</v>
      </c>
      <c r="D127" s="22">
        <v>0</v>
      </c>
      <c r="E127" s="22">
        <v>0</v>
      </c>
      <c r="F127" s="22">
        <f>(tbl_materiales2[[#This Row],[CANTIDAD REQUERIDA]]-tbl_materiales2[[#This Row],[CANTIDAD ABASTECIDA]])</f>
        <v>0</v>
      </c>
      <c r="G127" s="25"/>
    </row>
    <row r="128" spans="1:7" x14ac:dyDescent="0.3">
      <c r="A128" s="2">
        <f t="shared" si="1"/>
        <v>121</v>
      </c>
      <c r="B128" s="2" t="s">
        <v>460</v>
      </c>
      <c r="C128" s="29" t="s">
        <v>27</v>
      </c>
      <c r="D128" s="22">
        <v>0</v>
      </c>
      <c r="E128" s="22">
        <v>0</v>
      </c>
      <c r="F128" s="22">
        <f>(tbl_materiales2[[#This Row],[CANTIDAD REQUERIDA]]-tbl_materiales2[[#This Row],[CANTIDAD ABASTECIDA]])</f>
        <v>0</v>
      </c>
      <c r="G128" s="25"/>
    </row>
    <row r="129" spans="1:7" x14ac:dyDescent="0.3">
      <c r="A129" s="2">
        <f t="shared" si="1"/>
        <v>122</v>
      </c>
      <c r="B129" s="2" t="s">
        <v>461</v>
      </c>
      <c r="C129" s="29" t="s">
        <v>76</v>
      </c>
      <c r="D129" s="22">
        <v>0</v>
      </c>
      <c r="E129" s="22">
        <v>0</v>
      </c>
      <c r="F129" s="22">
        <f>(tbl_materiales2[[#This Row],[CANTIDAD REQUERIDA]]-tbl_materiales2[[#This Row],[CANTIDAD ABASTECIDA]])</f>
        <v>0</v>
      </c>
      <c r="G129" s="25"/>
    </row>
    <row r="130" spans="1:7" x14ac:dyDescent="0.3">
      <c r="A130" s="2">
        <f t="shared" si="1"/>
        <v>123</v>
      </c>
      <c r="B130" s="2" t="s">
        <v>462</v>
      </c>
      <c r="C130" s="31" t="s">
        <v>133</v>
      </c>
      <c r="D130" s="22">
        <v>0</v>
      </c>
      <c r="E130" s="22">
        <v>0</v>
      </c>
      <c r="F130" s="22">
        <f>(tbl_materiales2[[#This Row],[CANTIDAD REQUERIDA]]-tbl_materiales2[[#This Row],[CANTIDAD ABASTECIDA]])</f>
        <v>0</v>
      </c>
      <c r="G130" s="25"/>
    </row>
    <row r="131" spans="1:7" x14ac:dyDescent="0.3">
      <c r="A131" s="154">
        <f t="shared" si="1"/>
        <v>124</v>
      </c>
      <c r="B131" s="2" t="s">
        <v>1302</v>
      </c>
      <c r="C131" s="36" t="s">
        <v>1429</v>
      </c>
      <c r="D131" s="22">
        <v>0</v>
      </c>
      <c r="E131" s="22">
        <v>0</v>
      </c>
      <c r="F131" s="22">
        <f>(tbl_materiales2[[#This Row],[CANTIDAD REQUERIDA]]-tbl_materiales2[[#This Row],[CANTIDAD ABASTECIDA]])</f>
        <v>0</v>
      </c>
      <c r="G131" s="25"/>
    </row>
    <row r="132" spans="1:7" x14ac:dyDescent="0.3">
      <c r="A132" s="154">
        <f t="shared" si="1"/>
        <v>125</v>
      </c>
      <c r="B132" s="2" t="s">
        <v>1301</v>
      </c>
      <c r="C132" s="36" t="s">
        <v>1430</v>
      </c>
      <c r="D132" s="22">
        <v>0</v>
      </c>
      <c r="E132" s="22">
        <v>0</v>
      </c>
      <c r="F132" s="22">
        <f>(tbl_materiales2[[#This Row],[CANTIDAD REQUERIDA]]-tbl_materiales2[[#This Row],[CANTIDAD ABASTECIDA]])</f>
        <v>0</v>
      </c>
      <c r="G132" s="25"/>
    </row>
    <row r="133" spans="1:7" x14ac:dyDescent="0.3">
      <c r="A133" s="2">
        <f t="shared" si="1"/>
        <v>126</v>
      </c>
      <c r="B133" s="2" t="s">
        <v>463</v>
      </c>
      <c r="C133" s="30" t="s">
        <v>1431</v>
      </c>
      <c r="D133" s="22">
        <v>0</v>
      </c>
      <c r="E133" s="22">
        <v>0</v>
      </c>
      <c r="F133" s="22">
        <f>(tbl_materiales2[[#This Row],[CANTIDAD REQUERIDA]]-tbl_materiales2[[#This Row],[CANTIDAD ABASTECIDA]])</f>
        <v>0</v>
      </c>
      <c r="G133" s="25"/>
    </row>
    <row r="134" spans="1:7" x14ac:dyDescent="0.3">
      <c r="A134" s="2">
        <f t="shared" si="1"/>
        <v>127</v>
      </c>
      <c r="B134" s="2" t="s">
        <v>464</v>
      </c>
      <c r="C134" s="31" t="s">
        <v>152</v>
      </c>
      <c r="D134" s="22">
        <v>0</v>
      </c>
      <c r="E134" s="22">
        <v>0</v>
      </c>
      <c r="F134" s="22">
        <f>(tbl_materiales2[[#This Row],[CANTIDAD REQUERIDA]]-tbl_materiales2[[#This Row],[CANTIDAD ABASTECIDA]])</f>
        <v>0</v>
      </c>
      <c r="G134" s="25"/>
    </row>
    <row r="135" spans="1:7" x14ac:dyDescent="0.3">
      <c r="A135" s="2">
        <f t="shared" si="1"/>
        <v>128</v>
      </c>
      <c r="B135" s="2" t="s">
        <v>465</v>
      </c>
      <c r="C135" s="31" t="s">
        <v>153</v>
      </c>
      <c r="D135" s="22">
        <v>0</v>
      </c>
      <c r="E135" s="22">
        <v>0</v>
      </c>
      <c r="F135" s="22">
        <f>(tbl_materiales2[[#This Row],[CANTIDAD REQUERIDA]]-tbl_materiales2[[#This Row],[CANTIDAD ABASTECIDA]])</f>
        <v>0</v>
      </c>
      <c r="G135" s="25"/>
    </row>
    <row r="136" spans="1:7" x14ac:dyDescent="0.3">
      <c r="A136" s="2">
        <f t="shared" ref="A136:A199" si="2">ROW(A136)-7</f>
        <v>129</v>
      </c>
      <c r="B136" s="2" t="s">
        <v>466</v>
      </c>
      <c r="C136" s="31" t="s">
        <v>154</v>
      </c>
      <c r="D136" s="22">
        <v>0</v>
      </c>
      <c r="E136" s="22">
        <v>0</v>
      </c>
      <c r="F136" s="22">
        <f>(tbl_materiales2[[#This Row],[CANTIDAD REQUERIDA]]-tbl_materiales2[[#This Row],[CANTIDAD ABASTECIDA]])</f>
        <v>0</v>
      </c>
      <c r="G136" s="25"/>
    </row>
    <row r="137" spans="1:7" x14ac:dyDescent="0.3">
      <c r="A137" s="2">
        <f t="shared" si="2"/>
        <v>130</v>
      </c>
      <c r="B137" s="2" t="s">
        <v>467</v>
      </c>
      <c r="C137" s="31" t="s">
        <v>1230</v>
      </c>
      <c r="D137" s="22">
        <v>0</v>
      </c>
      <c r="E137" s="22">
        <v>0</v>
      </c>
      <c r="F137" s="22">
        <f>(tbl_materiales2[[#This Row],[CANTIDAD REQUERIDA]]-tbl_materiales2[[#This Row],[CANTIDAD ABASTECIDA]])</f>
        <v>0</v>
      </c>
      <c r="G137" s="25"/>
    </row>
    <row r="138" spans="1:7" x14ac:dyDescent="0.3">
      <c r="A138" s="2">
        <f t="shared" si="2"/>
        <v>131</v>
      </c>
      <c r="B138" s="2" t="s">
        <v>468</v>
      </c>
      <c r="C138" s="29" t="s">
        <v>24</v>
      </c>
      <c r="D138" s="22">
        <v>0</v>
      </c>
      <c r="E138" s="22">
        <v>0</v>
      </c>
      <c r="F138" s="22">
        <f>(tbl_materiales2[[#This Row],[CANTIDAD REQUERIDA]]-tbl_materiales2[[#This Row],[CANTIDAD ABASTECIDA]])</f>
        <v>0</v>
      </c>
      <c r="G138" s="25"/>
    </row>
    <row r="139" spans="1:7" x14ac:dyDescent="0.3">
      <c r="A139" s="2">
        <f t="shared" si="2"/>
        <v>132</v>
      </c>
      <c r="B139" s="2" t="s">
        <v>469</v>
      </c>
      <c r="C139" s="29" t="s">
        <v>1093</v>
      </c>
      <c r="D139" s="22">
        <v>0</v>
      </c>
      <c r="E139" s="22">
        <v>0</v>
      </c>
      <c r="F139" s="22">
        <f>(tbl_materiales2[[#This Row],[CANTIDAD REQUERIDA]]-tbl_materiales2[[#This Row],[CANTIDAD ABASTECIDA]])</f>
        <v>0</v>
      </c>
      <c r="G139" s="25"/>
    </row>
    <row r="140" spans="1:7" x14ac:dyDescent="0.3">
      <c r="A140" s="2">
        <f t="shared" si="2"/>
        <v>133</v>
      </c>
      <c r="B140" s="2" t="s">
        <v>470</v>
      </c>
      <c r="C140" s="29" t="s">
        <v>44</v>
      </c>
      <c r="D140" s="22">
        <v>0</v>
      </c>
      <c r="E140" s="22">
        <v>0</v>
      </c>
      <c r="F140" s="22">
        <f>(tbl_materiales2[[#This Row],[CANTIDAD REQUERIDA]]-tbl_materiales2[[#This Row],[CANTIDAD ABASTECIDA]])</f>
        <v>0</v>
      </c>
      <c r="G140" s="25"/>
    </row>
    <row r="141" spans="1:7" x14ac:dyDescent="0.3">
      <c r="A141" s="2">
        <f t="shared" si="2"/>
        <v>134</v>
      </c>
      <c r="B141" s="2" t="s">
        <v>471</v>
      </c>
      <c r="C141" s="30" t="s">
        <v>1328</v>
      </c>
      <c r="D141" s="22">
        <v>0</v>
      </c>
      <c r="E141" s="22">
        <v>0</v>
      </c>
      <c r="F141" s="22">
        <f>(tbl_materiales2[[#This Row],[CANTIDAD REQUERIDA]]-tbl_materiales2[[#This Row],[CANTIDAD ABASTECIDA]])</f>
        <v>0</v>
      </c>
      <c r="G141" s="25"/>
    </row>
    <row r="142" spans="1:7" x14ac:dyDescent="0.3">
      <c r="A142" s="2">
        <f t="shared" si="2"/>
        <v>135</v>
      </c>
      <c r="B142" s="2" t="s">
        <v>472</v>
      </c>
      <c r="C142" s="29" t="s">
        <v>1104</v>
      </c>
      <c r="D142" s="22">
        <v>0</v>
      </c>
      <c r="E142" s="22">
        <v>0</v>
      </c>
      <c r="F142" s="22">
        <f>(tbl_materiales2[[#This Row],[CANTIDAD REQUERIDA]]-tbl_materiales2[[#This Row],[CANTIDAD ABASTECIDA]])</f>
        <v>0</v>
      </c>
      <c r="G142" s="25"/>
    </row>
    <row r="143" spans="1:7" x14ac:dyDescent="0.3">
      <c r="A143" s="2">
        <f t="shared" si="2"/>
        <v>136</v>
      </c>
      <c r="B143" s="2" t="s">
        <v>473</v>
      </c>
      <c r="C143" s="29" t="s">
        <v>41</v>
      </c>
      <c r="D143" s="22">
        <v>0</v>
      </c>
      <c r="E143" s="22">
        <v>0</v>
      </c>
      <c r="F143" s="22">
        <f>(tbl_materiales2[[#This Row],[CANTIDAD REQUERIDA]]-tbl_materiales2[[#This Row],[CANTIDAD ABASTECIDA]])</f>
        <v>0</v>
      </c>
      <c r="G143" s="25"/>
    </row>
    <row r="144" spans="1:7" x14ac:dyDescent="0.3">
      <c r="A144" s="2">
        <f t="shared" si="2"/>
        <v>137</v>
      </c>
      <c r="B144" s="2" t="s">
        <v>474</v>
      </c>
      <c r="C144" s="29" t="s">
        <v>1092</v>
      </c>
      <c r="D144" s="22">
        <v>0</v>
      </c>
      <c r="E144" s="22">
        <v>0</v>
      </c>
      <c r="F144" s="22">
        <f>(tbl_materiales2[[#This Row],[CANTIDAD REQUERIDA]]-tbl_materiales2[[#This Row],[CANTIDAD ABASTECIDA]])</f>
        <v>0</v>
      </c>
      <c r="G144" s="25"/>
    </row>
    <row r="145" spans="1:7" x14ac:dyDescent="0.3">
      <c r="A145" s="2">
        <f t="shared" si="2"/>
        <v>138</v>
      </c>
      <c r="B145" s="2" t="s">
        <v>475</v>
      </c>
      <c r="C145" s="29" t="s">
        <v>23</v>
      </c>
      <c r="D145" s="22">
        <v>0</v>
      </c>
      <c r="E145" s="22">
        <v>0</v>
      </c>
      <c r="F145" s="22">
        <f>(tbl_materiales2[[#This Row],[CANTIDAD REQUERIDA]]-tbl_materiales2[[#This Row],[CANTIDAD ABASTECIDA]])</f>
        <v>0</v>
      </c>
      <c r="G145" s="25"/>
    </row>
    <row r="146" spans="1:7" x14ac:dyDescent="0.3">
      <c r="A146" s="2">
        <f t="shared" si="2"/>
        <v>139</v>
      </c>
      <c r="B146" s="2" t="s">
        <v>476</v>
      </c>
      <c r="C146" s="29" t="s">
        <v>63</v>
      </c>
      <c r="D146" s="22">
        <v>0</v>
      </c>
      <c r="E146" s="22">
        <v>0</v>
      </c>
      <c r="F146" s="22">
        <f>(tbl_materiales2[[#This Row],[CANTIDAD REQUERIDA]]-tbl_materiales2[[#This Row],[CANTIDAD ABASTECIDA]])</f>
        <v>0</v>
      </c>
      <c r="G146" s="25"/>
    </row>
    <row r="147" spans="1:7" x14ac:dyDescent="0.3">
      <c r="A147" s="2">
        <f t="shared" si="2"/>
        <v>140</v>
      </c>
      <c r="B147" s="2" t="s">
        <v>477</v>
      </c>
      <c r="C147" s="29" t="s">
        <v>57</v>
      </c>
      <c r="D147" s="22">
        <v>0</v>
      </c>
      <c r="E147" s="22">
        <v>0</v>
      </c>
      <c r="F147" s="22">
        <f>(tbl_materiales2[[#This Row],[CANTIDAD REQUERIDA]]-tbl_materiales2[[#This Row],[CANTIDAD ABASTECIDA]])</f>
        <v>0</v>
      </c>
      <c r="G147" s="25"/>
    </row>
    <row r="148" spans="1:7" x14ac:dyDescent="0.3">
      <c r="A148" s="2">
        <f t="shared" si="2"/>
        <v>141</v>
      </c>
      <c r="B148" s="2" t="s">
        <v>478</v>
      </c>
      <c r="C148" s="29" t="s">
        <v>151</v>
      </c>
      <c r="D148" s="22">
        <v>0</v>
      </c>
      <c r="E148" s="22">
        <v>0</v>
      </c>
      <c r="F148" s="22">
        <f>(tbl_materiales2[[#This Row],[CANTIDAD REQUERIDA]]-tbl_materiales2[[#This Row],[CANTIDAD ABASTECIDA]])</f>
        <v>0</v>
      </c>
      <c r="G148" s="25"/>
    </row>
    <row r="149" spans="1:7" x14ac:dyDescent="0.3">
      <c r="A149" s="2">
        <f t="shared" si="2"/>
        <v>142</v>
      </c>
      <c r="B149" s="2" t="s">
        <v>479</v>
      </c>
      <c r="C149" s="29" t="s">
        <v>1231</v>
      </c>
      <c r="D149" s="22">
        <v>0</v>
      </c>
      <c r="E149" s="22">
        <v>0</v>
      </c>
      <c r="F149" s="22">
        <f>(tbl_materiales2[[#This Row],[CANTIDAD REQUERIDA]]-tbl_materiales2[[#This Row],[CANTIDAD ABASTECIDA]])</f>
        <v>0</v>
      </c>
      <c r="G149" s="25"/>
    </row>
    <row r="150" spans="1:7" x14ac:dyDescent="0.3">
      <c r="A150" s="2">
        <f t="shared" si="2"/>
        <v>143</v>
      </c>
      <c r="B150" s="2" t="s">
        <v>480</v>
      </c>
      <c r="C150" s="29" t="s">
        <v>79</v>
      </c>
      <c r="D150" s="22">
        <v>0</v>
      </c>
      <c r="E150" s="22">
        <v>0</v>
      </c>
      <c r="F150" s="22">
        <f>(tbl_materiales2[[#This Row],[CANTIDAD REQUERIDA]]-tbl_materiales2[[#This Row],[CANTIDAD ABASTECIDA]])</f>
        <v>0</v>
      </c>
      <c r="G150" s="25"/>
    </row>
    <row r="151" spans="1:7" x14ac:dyDescent="0.3">
      <c r="A151" s="2">
        <f t="shared" si="2"/>
        <v>144</v>
      </c>
      <c r="B151" s="2" t="s">
        <v>481</v>
      </c>
      <c r="C151" s="29" t="s">
        <v>59</v>
      </c>
      <c r="D151" s="22">
        <v>0</v>
      </c>
      <c r="E151" s="22">
        <v>0</v>
      </c>
      <c r="F151" s="22">
        <f>(tbl_materiales2[[#This Row],[CANTIDAD REQUERIDA]]-tbl_materiales2[[#This Row],[CANTIDAD ABASTECIDA]])</f>
        <v>0</v>
      </c>
      <c r="G151" s="25"/>
    </row>
    <row r="152" spans="1:7" x14ac:dyDescent="0.3">
      <c r="A152" s="2">
        <f t="shared" si="2"/>
        <v>145</v>
      </c>
      <c r="B152" s="2" t="s">
        <v>482</v>
      </c>
      <c r="C152" s="31" t="s">
        <v>979</v>
      </c>
      <c r="D152" s="22">
        <v>0</v>
      </c>
      <c r="E152" s="22">
        <v>0</v>
      </c>
      <c r="F152" s="22">
        <f>(tbl_materiales2[[#This Row],[CANTIDAD REQUERIDA]]-tbl_materiales2[[#This Row],[CANTIDAD ABASTECIDA]])</f>
        <v>0</v>
      </c>
      <c r="G152" s="25"/>
    </row>
    <row r="153" spans="1:7" x14ac:dyDescent="0.3">
      <c r="A153" s="2">
        <f t="shared" si="2"/>
        <v>146</v>
      </c>
      <c r="B153" s="2" t="s">
        <v>483</v>
      </c>
      <c r="C153" s="29" t="s">
        <v>21</v>
      </c>
      <c r="D153" s="22">
        <v>0</v>
      </c>
      <c r="E153" s="22">
        <v>0</v>
      </c>
      <c r="F153" s="22">
        <f>(tbl_materiales2[[#This Row],[CANTIDAD REQUERIDA]]-tbl_materiales2[[#This Row],[CANTIDAD ABASTECIDA]])</f>
        <v>0</v>
      </c>
      <c r="G153" s="25"/>
    </row>
    <row r="154" spans="1:7" x14ac:dyDescent="0.3">
      <c r="A154" s="2">
        <f t="shared" si="2"/>
        <v>147</v>
      </c>
      <c r="B154" s="2" t="s">
        <v>484</v>
      </c>
      <c r="C154" s="31" t="s">
        <v>769</v>
      </c>
      <c r="D154" s="22">
        <v>0</v>
      </c>
      <c r="E154" s="22">
        <v>0</v>
      </c>
      <c r="F154" s="22">
        <f>(tbl_materiales2[[#This Row],[CANTIDAD REQUERIDA]]-tbl_materiales2[[#This Row],[CANTIDAD ABASTECIDA]])</f>
        <v>0</v>
      </c>
      <c r="G154" s="25"/>
    </row>
    <row r="155" spans="1:7" x14ac:dyDescent="0.3">
      <c r="A155" s="2">
        <f t="shared" si="2"/>
        <v>148</v>
      </c>
      <c r="B155" s="2" t="s">
        <v>485</v>
      </c>
      <c r="C155" s="29" t="s">
        <v>1018</v>
      </c>
      <c r="D155" s="22">
        <v>0</v>
      </c>
      <c r="E155" s="22">
        <v>0</v>
      </c>
      <c r="F155" s="22">
        <f>(tbl_materiales2[[#This Row],[CANTIDAD REQUERIDA]]-tbl_materiales2[[#This Row],[CANTIDAD ABASTECIDA]])</f>
        <v>0</v>
      </c>
      <c r="G155" s="25"/>
    </row>
    <row r="156" spans="1:7" x14ac:dyDescent="0.3">
      <c r="A156" s="2">
        <f t="shared" si="2"/>
        <v>149</v>
      </c>
      <c r="B156" s="2" t="s">
        <v>486</v>
      </c>
      <c r="C156" s="31" t="s">
        <v>22</v>
      </c>
      <c r="D156" s="22">
        <v>0</v>
      </c>
      <c r="E156" s="22">
        <v>0</v>
      </c>
      <c r="F156" s="22">
        <f>(tbl_materiales2[[#This Row],[CANTIDAD REQUERIDA]]-tbl_materiales2[[#This Row],[CANTIDAD ABASTECIDA]])</f>
        <v>0</v>
      </c>
      <c r="G156" s="25"/>
    </row>
    <row r="157" spans="1:7" x14ac:dyDescent="0.3">
      <c r="A157" s="2">
        <f t="shared" si="2"/>
        <v>150</v>
      </c>
      <c r="B157" s="2" t="s">
        <v>487</v>
      </c>
      <c r="C157" s="29" t="s">
        <v>39</v>
      </c>
      <c r="D157" s="22">
        <v>0</v>
      </c>
      <c r="E157" s="22">
        <v>0</v>
      </c>
      <c r="F157" s="22">
        <f>(tbl_materiales2[[#This Row],[CANTIDAD REQUERIDA]]-tbl_materiales2[[#This Row],[CANTIDAD ABASTECIDA]])</f>
        <v>0</v>
      </c>
      <c r="G157" s="25"/>
    </row>
    <row r="158" spans="1:7" x14ac:dyDescent="0.3">
      <c r="A158" s="2">
        <f t="shared" si="2"/>
        <v>151</v>
      </c>
      <c r="B158" s="2" t="s">
        <v>488</v>
      </c>
      <c r="C158" s="29" t="s">
        <v>149</v>
      </c>
      <c r="D158" s="22">
        <v>0</v>
      </c>
      <c r="E158" s="22">
        <v>0</v>
      </c>
      <c r="F158" s="22">
        <f>(tbl_materiales2[[#This Row],[CANTIDAD REQUERIDA]]-tbl_materiales2[[#This Row],[CANTIDAD ABASTECIDA]])</f>
        <v>0</v>
      </c>
      <c r="G158" s="25"/>
    </row>
    <row r="159" spans="1:7" x14ac:dyDescent="0.3">
      <c r="A159" s="2">
        <f t="shared" si="2"/>
        <v>152</v>
      </c>
      <c r="B159" s="2" t="s">
        <v>489</v>
      </c>
      <c r="C159" s="30" t="s">
        <v>160</v>
      </c>
      <c r="D159" s="22">
        <v>0</v>
      </c>
      <c r="E159" s="22">
        <v>0</v>
      </c>
      <c r="F159" s="22">
        <f>(tbl_materiales2[[#This Row],[CANTIDAD REQUERIDA]]-tbl_materiales2[[#This Row],[CANTIDAD ABASTECIDA]])</f>
        <v>0</v>
      </c>
      <c r="G159" s="25"/>
    </row>
    <row r="160" spans="1:7" x14ac:dyDescent="0.3">
      <c r="A160" s="154">
        <f t="shared" si="2"/>
        <v>153</v>
      </c>
      <c r="B160" s="2" t="s">
        <v>1294</v>
      </c>
      <c r="C160" s="36" t="s">
        <v>1291</v>
      </c>
      <c r="D160" s="22">
        <v>0</v>
      </c>
      <c r="E160" s="22">
        <v>0</v>
      </c>
      <c r="F160" s="22">
        <f>(tbl_materiales2[[#This Row],[CANTIDAD REQUERIDA]]-tbl_materiales2[[#This Row],[CANTIDAD ABASTECIDA]])</f>
        <v>0</v>
      </c>
      <c r="G160" s="25"/>
    </row>
    <row r="161" spans="1:7" x14ac:dyDescent="0.3">
      <c r="A161" s="154">
        <f t="shared" si="2"/>
        <v>154</v>
      </c>
      <c r="B161" s="2" t="s">
        <v>1296</v>
      </c>
      <c r="C161" s="36" t="s">
        <v>1293</v>
      </c>
      <c r="D161" s="22">
        <v>0</v>
      </c>
      <c r="E161" s="22">
        <v>0</v>
      </c>
      <c r="F161" s="22">
        <f>(tbl_materiales2[[#This Row],[CANTIDAD REQUERIDA]]-tbl_materiales2[[#This Row],[CANTIDAD ABASTECIDA]])</f>
        <v>0</v>
      </c>
      <c r="G161" s="25"/>
    </row>
    <row r="162" spans="1:7" x14ac:dyDescent="0.3">
      <c r="A162" s="154">
        <f t="shared" si="2"/>
        <v>155</v>
      </c>
      <c r="B162" s="2" t="s">
        <v>1295</v>
      </c>
      <c r="C162" s="36" t="s">
        <v>1292</v>
      </c>
      <c r="D162" s="22">
        <v>0</v>
      </c>
      <c r="E162" s="22">
        <v>0</v>
      </c>
      <c r="F162" s="22">
        <f>(tbl_materiales2[[#This Row],[CANTIDAD REQUERIDA]]-tbl_materiales2[[#This Row],[CANTIDAD ABASTECIDA]])</f>
        <v>0</v>
      </c>
      <c r="G162" s="25"/>
    </row>
    <row r="163" spans="1:7" x14ac:dyDescent="0.3">
      <c r="A163" s="154">
        <f t="shared" si="2"/>
        <v>156</v>
      </c>
      <c r="B163" s="2" t="s">
        <v>1274</v>
      </c>
      <c r="C163" s="36" t="s">
        <v>1278</v>
      </c>
      <c r="D163" s="22">
        <v>0</v>
      </c>
      <c r="E163" s="22">
        <v>0</v>
      </c>
      <c r="F163" s="22">
        <f>(tbl_materiales2[[#This Row],[CANTIDAD REQUERIDA]]-tbl_materiales2[[#This Row],[CANTIDAD ABASTECIDA]])</f>
        <v>0</v>
      </c>
      <c r="G163" s="25"/>
    </row>
    <row r="164" spans="1:7" x14ac:dyDescent="0.3">
      <c r="A164" s="154">
        <f t="shared" si="2"/>
        <v>157</v>
      </c>
      <c r="B164" s="2" t="s">
        <v>1281</v>
      </c>
      <c r="C164" s="36" t="s">
        <v>1279</v>
      </c>
      <c r="D164" s="22">
        <v>0</v>
      </c>
      <c r="E164" s="22">
        <v>0</v>
      </c>
      <c r="F164" s="22">
        <f>(tbl_materiales2[[#This Row],[CANTIDAD REQUERIDA]]-tbl_materiales2[[#This Row],[CANTIDAD ABASTECIDA]])</f>
        <v>0</v>
      </c>
      <c r="G164" s="25"/>
    </row>
    <row r="165" spans="1:7" x14ac:dyDescent="0.3">
      <c r="A165" s="154">
        <f t="shared" si="2"/>
        <v>158</v>
      </c>
      <c r="B165" s="2" t="s">
        <v>1282</v>
      </c>
      <c r="C165" s="36" t="s">
        <v>1280</v>
      </c>
      <c r="D165" s="22">
        <v>0</v>
      </c>
      <c r="E165" s="22">
        <v>0</v>
      </c>
      <c r="F165" s="22">
        <f>(tbl_materiales2[[#This Row],[CANTIDAD REQUERIDA]]-tbl_materiales2[[#This Row],[CANTIDAD ABASTECIDA]])</f>
        <v>0</v>
      </c>
      <c r="G165" s="25"/>
    </row>
    <row r="166" spans="1:7" x14ac:dyDescent="0.3">
      <c r="A166" s="154">
        <f t="shared" si="2"/>
        <v>159</v>
      </c>
      <c r="B166" s="2" t="s">
        <v>1356</v>
      </c>
      <c r="C166" s="36" t="s">
        <v>1355</v>
      </c>
      <c r="D166" s="22">
        <v>0</v>
      </c>
      <c r="E166" s="22">
        <v>0</v>
      </c>
      <c r="F166" s="22">
        <f>(tbl_materiales2[[#This Row],[CANTIDAD REQUERIDA]]-tbl_materiales2[[#This Row],[CANTIDAD ABASTECIDA]])</f>
        <v>0</v>
      </c>
      <c r="G166" s="25"/>
    </row>
    <row r="167" spans="1:7" x14ac:dyDescent="0.3">
      <c r="A167" s="2">
        <f t="shared" si="2"/>
        <v>160</v>
      </c>
      <c r="B167" s="2" t="s">
        <v>490</v>
      </c>
      <c r="C167" s="30" t="s">
        <v>1019</v>
      </c>
      <c r="D167" s="22">
        <v>0</v>
      </c>
      <c r="E167" s="22">
        <v>0</v>
      </c>
      <c r="F167" s="22">
        <f>(tbl_materiales2[[#This Row],[CANTIDAD REQUERIDA]]-tbl_materiales2[[#This Row],[CANTIDAD ABASTECIDA]])</f>
        <v>0</v>
      </c>
      <c r="G167" s="25"/>
    </row>
    <row r="168" spans="1:7" x14ac:dyDescent="0.3">
      <c r="A168" s="2">
        <f t="shared" si="2"/>
        <v>161</v>
      </c>
      <c r="B168" s="2" t="s">
        <v>491</v>
      </c>
      <c r="C168" s="29" t="s">
        <v>138</v>
      </c>
      <c r="D168" s="22">
        <v>0</v>
      </c>
      <c r="E168" s="22">
        <v>0</v>
      </c>
      <c r="F168" s="22">
        <f>(tbl_materiales2[[#This Row],[CANTIDAD REQUERIDA]]-tbl_materiales2[[#This Row],[CANTIDAD ABASTECIDA]])</f>
        <v>0</v>
      </c>
      <c r="G168" s="25"/>
    </row>
    <row r="169" spans="1:7" x14ac:dyDescent="0.3">
      <c r="A169" s="2">
        <f t="shared" si="2"/>
        <v>162</v>
      </c>
      <c r="B169" s="2" t="s">
        <v>492</v>
      </c>
      <c r="C169" s="29" t="s">
        <v>34</v>
      </c>
      <c r="D169" s="22">
        <v>0</v>
      </c>
      <c r="E169" s="22">
        <v>0</v>
      </c>
      <c r="F169" s="22">
        <f>(tbl_materiales2[[#This Row],[CANTIDAD REQUERIDA]]-tbl_materiales2[[#This Row],[CANTIDAD ABASTECIDA]])</f>
        <v>0</v>
      </c>
      <c r="G169" s="25"/>
    </row>
    <row r="170" spans="1:7" x14ac:dyDescent="0.3">
      <c r="A170" s="2">
        <f t="shared" si="2"/>
        <v>163</v>
      </c>
      <c r="B170" s="2" t="s">
        <v>493</v>
      </c>
      <c r="C170" s="29" t="s">
        <v>36</v>
      </c>
      <c r="D170" s="22">
        <v>0</v>
      </c>
      <c r="E170" s="22">
        <v>0</v>
      </c>
      <c r="F170" s="22">
        <f>(tbl_materiales2[[#This Row],[CANTIDAD REQUERIDA]]-tbl_materiales2[[#This Row],[CANTIDAD ABASTECIDA]])</f>
        <v>0</v>
      </c>
      <c r="G170" s="25"/>
    </row>
    <row r="171" spans="1:7" x14ac:dyDescent="0.3">
      <c r="A171" s="2">
        <f t="shared" si="2"/>
        <v>164</v>
      </c>
      <c r="B171" s="2" t="s">
        <v>494</v>
      </c>
      <c r="C171" s="29" t="s">
        <v>1020</v>
      </c>
      <c r="D171" s="22">
        <v>0</v>
      </c>
      <c r="E171" s="22">
        <v>0</v>
      </c>
      <c r="F171" s="22">
        <f>(tbl_materiales2[[#This Row],[CANTIDAD REQUERIDA]]-tbl_materiales2[[#This Row],[CANTIDAD ABASTECIDA]])</f>
        <v>0</v>
      </c>
      <c r="G171" s="25"/>
    </row>
    <row r="172" spans="1:7" x14ac:dyDescent="0.3">
      <c r="A172" s="2">
        <f t="shared" si="2"/>
        <v>165</v>
      </c>
      <c r="B172" s="2" t="s">
        <v>495</v>
      </c>
      <c r="C172" s="29" t="s">
        <v>32</v>
      </c>
      <c r="D172" s="22">
        <v>0</v>
      </c>
      <c r="E172" s="22">
        <v>0</v>
      </c>
      <c r="F172" s="22">
        <f>(tbl_materiales2[[#This Row],[CANTIDAD REQUERIDA]]-tbl_materiales2[[#This Row],[CANTIDAD ABASTECIDA]])</f>
        <v>0</v>
      </c>
      <c r="G172" s="25"/>
    </row>
    <row r="173" spans="1:7" x14ac:dyDescent="0.3">
      <c r="A173" s="2">
        <f t="shared" si="2"/>
        <v>166</v>
      </c>
      <c r="B173" s="2" t="s">
        <v>496</v>
      </c>
      <c r="C173" s="29" t="s">
        <v>33</v>
      </c>
      <c r="D173" s="22">
        <v>0</v>
      </c>
      <c r="E173" s="22">
        <v>0</v>
      </c>
      <c r="F173" s="22">
        <f>(tbl_materiales2[[#This Row],[CANTIDAD REQUERIDA]]-tbl_materiales2[[#This Row],[CANTIDAD ABASTECIDA]])</f>
        <v>0</v>
      </c>
      <c r="G173" s="25"/>
    </row>
    <row r="174" spans="1:7" x14ac:dyDescent="0.3">
      <c r="A174" s="2">
        <f t="shared" si="2"/>
        <v>167</v>
      </c>
      <c r="B174" s="2" t="s">
        <v>497</v>
      </c>
      <c r="C174" s="29" t="s">
        <v>35</v>
      </c>
      <c r="D174" s="22">
        <v>0</v>
      </c>
      <c r="E174" s="22">
        <v>0</v>
      </c>
      <c r="F174" s="22">
        <f>(tbl_materiales2[[#This Row],[CANTIDAD REQUERIDA]]-tbl_materiales2[[#This Row],[CANTIDAD ABASTECIDA]])</f>
        <v>0</v>
      </c>
      <c r="G174" s="25"/>
    </row>
    <row r="175" spans="1:7" x14ac:dyDescent="0.3">
      <c r="A175" s="2">
        <f t="shared" si="2"/>
        <v>168</v>
      </c>
      <c r="B175" s="2" t="s">
        <v>498</v>
      </c>
      <c r="C175" s="31" t="s">
        <v>1021</v>
      </c>
      <c r="D175" s="22">
        <v>0</v>
      </c>
      <c r="E175" s="22">
        <v>0</v>
      </c>
      <c r="F175" s="22">
        <f>(tbl_materiales2[[#This Row],[CANTIDAD REQUERIDA]]-tbl_materiales2[[#This Row],[CANTIDAD ABASTECIDA]])</f>
        <v>0</v>
      </c>
      <c r="G175" s="25"/>
    </row>
    <row r="176" spans="1:7" x14ac:dyDescent="0.3">
      <c r="A176" s="2">
        <f t="shared" si="2"/>
        <v>169</v>
      </c>
      <c r="B176" s="2" t="s">
        <v>499</v>
      </c>
      <c r="C176" s="31" t="s">
        <v>1022</v>
      </c>
      <c r="D176" s="22">
        <v>0</v>
      </c>
      <c r="E176" s="22">
        <v>0</v>
      </c>
      <c r="F176" s="22">
        <f>(tbl_materiales2[[#This Row],[CANTIDAD REQUERIDA]]-tbl_materiales2[[#This Row],[CANTIDAD ABASTECIDA]])</f>
        <v>0</v>
      </c>
      <c r="G176" s="25"/>
    </row>
    <row r="177" spans="1:7" x14ac:dyDescent="0.3">
      <c r="A177" s="2">
        <f t="shared" si="2"/>
        <v>170</v>
      </c>
      <c r="B177" s="2" t="s">
        <v>500</v>
      </c>
      <c r="C177" s="29" t="s">
        <v>48</v>
      </c>
      <c r="D177" s="22">
        <v>0</v>
      </c>
      <c r="E177" s="22">
        <v>0</v>
      </c>
      <c r="F177" s="22">
        <f>(tbl_materiales2[[#This Row],[CANTIDAD REQUERIDA]]-tbl_materiales2[[#This Row],[CANTIDAD ABASTECIDA]])</f>
        <v>0</v>
      </c>
      <c r="G177" s="25"/>
    </row>
    <row r="178" spans="1:7" x14ac:dyDescent="0.3">
      <c r="A178" s="2">
        <f t="shared" si="2"/>
        <v>171</v>
      </c>
      <c r="B178" s="2" t="s">
        <v>501</v>
      </c>
      <c r="C178" s="30" t="s">
        <v>770</v>
      </c>
      <c r="D178" s="22">
        <v>0</v>
      </c>
      <c r="E178" s="22">
        <v>0</v>
      </c>
      <c r="F178" s="22">
        <f>(tbl_materiales2[[#This Row],[CANTIDAD REQUERIDA]]-tbl_materiales2[[#This Row],[CANTIDAD ABASTECIDA]])</f>
        <v>0</v>
      </c>
      <c r="G178" s="25"/>
    </row>
    <row r="179" spans="1:7" x14ac:dyDescent="0.3">
      <c r="A179" s="2">
        <f t="shared" si="2"/>
        <v>172</v>
      </c>
      <c r="B179" s="2" t="s">
        <v>502</v>
      </c>
      <c r="C179" s="29" t="s">
        <v>49</v>
      </c>
      <c r="D179" s="22">
        <v>0</v>
      </c>
      <c r="E179" s="22">
        <v>0</v>
      </c>
      <c r="F179" s="22">
        <f>(tbl_materiales2[[#This Row],[CANTIDAD REQUERIDA]]-tbl_materiales2[[#This Row],[CANTIDAD ABASTECIDA]])</f>
        <v>0</v>
      </c>
      <c r="G179" s="25"/>
    </row>
    <row r="180" spans="1:7" x14ac:dyDescent="0.3">
      <c r="A180" s="2">
        <f t="shared" si="2"/>
        <v>173</v>
      </c>
      <c r="B180" s="2" t="s">
        <v>503</v>
      </c>
      <c r="C180" s="30" t="s">
        <v>1023</v>
      </c>
      <c r="D180" s="22">
        <v>0</v>
      </c>
      <c r="E180" s="22">
        <v>0</v>
      </c>
      <c r="F180" s="22">
        <f>(tbl_materiales2[[#This Row],[CANTIDAD REQUERIDA]]-tbl_materiales2[[#This Row],[CANTIDAD ABASTECIDA]])</f>
        <v>0</v>
      </c>
      <c r="G180" s="25"/>
    </row>
    <row r="181" spans="1:7" x14ac:dyDescent="0.3">
      <c r="A181" s="2">
        <f t="shared" si="2"/>
        <v>174</v>
      </c>
      <c r="B181" s="2" t="s">
        <v>504</v>
      </c>
      <c r="C181" s="31" t="s">
        <v>147</v>
      </c>
      <c r="D181" s="22">
        <v>0</v>
      </c>
      <c r="E181" s="22">
        <v>0</v>
      </c>
      <c r="F181" s="22">
        <f>(tbl_materiales2[[#This Row],[CANTIDAD REQUERIDA]]-tbl_materiales2[[#This Row],[CANTIDAD ABASTECIDA]])</f>
        <v>0</v>
      </c>
      <c r="G181" s="25"/>
    </row>
    <row r="182" spans="1:7" x14ac:dyDescent="0.3">
      <c r="A182" s="2">
        <f t="shared" si="2"/>
        <v>175</v>
      </c>
      <c r="B182" s="2" t="s">
        <v>505</v>
      </c>
      <c r="C182" s="29" t="s">
        <v>11</v>
      </c>
      <c r="D182" s="22">
        <v>0</v>
      </c>
      <c r="E182" s="22">
        <v>0</v>
      </c>
      <c r="F182" s="22">
        <f>(tbl_materiales2[[#This Row],[CANTIDAD REQUERIDA]]-tbl_materiales2[[#This Row],[CANTIDAD ABASTECIDA]])</f>
        <v>0</v>
      </c>
      <c r="G182" s="25"/>
    </row>
    <row r="183" spans="1:7" x14ac:dyDescent="0.3">
      <c r="A183" s="2">
        <f t="shared" si="2"/>
        <v>176</v>
      </c>
      <c r="B183" s="2" t="s">
        <v>506</v>
      </c>
      <c r="C183" s="29" t="s">
        <v>1029</v>
      </c>
      <c r="D183" s="22">
        <v>0</v>
      </c>
      <c r="E183" s="22">
        <v>0</v>
      </c>
      <c r="F183" s="22">
        <f>(tbl_materiales2[[#This Row],[CANTIDAD REQUERIDA]]-tbl_materiales2[[#This Row],[CANTIDAD ABASTECIDA]])</f>
        <v>0</v>
      </c>
      <c r="G183" s="25"/>
    </row>
    <row r="184" spans="1:7" x14ac:dyDescent="0.3">
      <c r="A184" s="2">
        <f t="shared" si="2"/>
        <v>177</v>
      </c>
      <c r="B184" s="2" t="s">
        <v>507</v>
      </c>
      <c r="C184" s="29" t="s">
        <v>1027</v>
      </c>
      <c r="D184" s="22">
        <v>0</v>
      </c>
      <c r="E184" s="22">
        <v>0</v>
      </c>
      <c r="F184" s="22">
        <f>(tbl_materiales2[[#This Row],[CANTIDAD REQUERIDA]]-tbl_materiales2[[#This Row],[CANTIDAD ABASTECIDA]])</f>
        <v>0</v>
      </c>
      <c r="G184" s="25"/>
    </row>
    <row r="185" spans="1:7" x14ac:dyDescent="0.3">
      <c r="A185" s="2">
        <f t="shared" si="2"/>
        <v>178</v>
      </c>
      <c r="B185" s="2" t="s">
        <v>508</v>
      </c>
      <c r="C185" s="29" t="s">
        <v>1024</v>
      </c>
      <c r="D185" s="22">
        <v>0</v>
      </c>
      <c r="E185" s="22">
        <v>0</v>
      </c>
      <c r="F185" s="22">
        <f>(tbl_materiales2[[#This Row],[CANTIDAD REQUERIDA]]-tbl_materiales2[[#This Row],[CANTIDAD ABASTECIDA]])</f>
        <v>0</v>
      </c>
      <c r="G185" s="25"/>
    </row>
    <row r="186" spans="1:7" x14ac:dyDescent="0.3">
      <c r="A186" s="2">
        <f t="shared" si="2"/>
        <v>179</v>
      </c>
      <c r="B186" s="2" t="s">
        <v>509</v>
      </c>
      <c r="C186" s="29" t="s">
        <v>1032</v>
      </c>
      <c r="D186" s="22">
        <v>0</v>
      </c>
      <c r="E186" s="22">
        <v>0</v>
      </c>
      <c r="F186" s="22">
        <f>(tbl_materiales2[[#This Row],[CANTIDAD REQUERIDA]]-tbl_materiales2[[#This Row],[CANTIDAD ABASTECIDA]])</f>
        <v>0</v>
      </c>
      <c r="G186" s="25"/>
    </row>
    <row r="187" spans="1:7" x14ac:dyDescent="0.3">
      <c r="A187" s="2">
        <f t="shared" si="2"/>
        <v>180</v>
      </c>
      <c r="B187" s="2" t="s">
        <v>510</v>
      </c>
      <c r="C187" s="29" t="s">
        <v>1028</v>
      </c>
      <c r="D187" s="22">
        <v>0</v>
      </c>
      <c r="E187" s="22">
        <v>0</v>
      </c>
      <c r="F187" s="22">
        <f>(tbl_materiales2[[#This Row],[CANTIDAD REQUERIDA]]-tbl_materiales2[[#This Row],[CANTIDAD ABASTECIDA]])</f>
        <v>0</v>
      </c>
      <c r="G187" s="25"/>
    </row>
    <row r="188" spans="1:7" x14ac:dyDescent="0.3">
      <c r="A188" s="2">
        <f t="shared" si="2"/>
        <v>181</v>
      </c>
      <c r="B188" s="2" t="s">
        <v>511</v>
      </c>
      <c r="C188" s="29" t="s">
        <v>1030</v>
      </c>
      <c r="D188" s="22">
        <v>0</v>
      </c>
      <c r="E188" s="22">
        <v>0</v>
      </c>
      <c r="F188" s="22">
        <f>(tbl_materiales2[[#This Row],[CANTIDAD REQUERIDA]]-tbl_materiales2[[#This Row],[CANTIDAD ABASTECIDA]])</f>
        <v>0</v>
      </c>
      <c r="G188" s="25"/>
    </row>
    <row r="189" spans="1:7" x14ac:dyDescent="0.3">
      <c r="A189" s="2">
        <f t="shared" si="2"/>
        <v>182</v>
      </c>
      <c r="B189" s="2" t="s">
        <v>512</v>
      </c>
      <c r="C189" s="29" t="s">
        <v>1031</v>
      </c>
      <c r="D189" s="22">
        <v>0</v>
      </c>
      <c r="E189" s="22">
        <v>0</v>
      </c>
      <c r="F189" s="22">
        <f>(tbl_materiales2[[#This Row],[CANTIDAD REQUERIDA]]-tbl_materiales2[[#This Row],[CANTIDAD ABASTECIDA]])</f>
        <v>0</v>
      </c>
      <c r="G189" s="25"/>
    </row>
    <row r="190" spans="1:7" x14ac:dyDescent="0.3">
      <c r="A190" s="2">
        <f t="shared" si="2"/>
        <v>183</v>
      </c>
      <c r="B190" s="2" t="s">
        <v>513</v>
      </c>
      <c r="C190" s="29" t="s">
        <v>1026</v>
      </c>
      <c r="D190" s="22">
        <v>0</v>
      </c>
      <c r="E190" s="22">
        <v>0</v>
      </c>
      <c r="F190" s="22">
        <f>(tbl_materiales2[[#This Row],[CANTIDAD REQUERIDA]]-tbl_materiales2[[#This Row],[CANTIDAD ABASTECIDA]])</f>
        <v>0</v>
      </c>
      <c r="G190" s="25"/>
    </row>
    <row r="191" spans="1:7" x14ac:dyDescent="0.3">
      <c r="A191" s="2">
        <f t="shared" si="2"/>
        <v>184</v>
      </c>
      <c r="B191" s="2" t="s">
        <v>514</v>
      </c>
      <c r="C191" s="29" t="s">
        <v>1042</v>
      </c>
      <c r="D191" s="22">
        <v>0</v>
      </c>
      <c r="E191" s="22">
        <v>0</v>
      </c>
      <c r="F191" s="22">
        <f>(tbl_materiales2[[#This Row],[CANTIDAD REQUERIDA]]-tbl_materiales2[[#This Row],[CANTIDAD ABASTECIDA]])</f>
        <v>0</v>
      </c>
      <c r="G191" s="25"/>
    </row>
    <row r="192" spans="1:7" x14ac:dyDescent="0.3">
      <c r="A192" s="2">
        <f t="shared" si="2"/>
        <v>185</v>
      </c>
      <c r="B192" s="2" t="s">
        <v>515</v>
      </c>
      <c r="C192" s="29" t="s">
        <v>1033</v>
      </c>
      <c r="D192" s="22">
        <v>0</v>
      </c>
      <c r="E192" s="22">
        <v>0</v>
      </c>
      <c r="F192" s="22">
        <f>(tbl_materiales2[[#This Row],[CANTIDAD REQUERIDA]]-tbl_materiales2[[#This Row],[CANTIDAD ABASTECIDA]])</f>
        <v>0</v>
      </c>
      <c r="G192" s="25"/>
    </row>
    <row r="193" spans="1:7" x14ac:dyDescent="0.3">
      <c r="A193" s="2">
        <f t="shared" si="2"/>
        <v>186</v>
      </c>
      <c r="B193" s="2" t="s">
        <v>516</v>
      </c>
      <c r="C193" s="29" t="s">
        <v>1034</v>
      </c>
      <c r="D193" s="22">
        <v>0</v>
      </c>
      <c r="E193" s="22">
        <v>0</v>
      </c>
      <c r="F193" s="22">
        <f>(tbl_materiales2[[#This Row],[CANTIDAD REQUERIDA]]-tbl_materiales2[[#This Row],[CANTIDAD ABASTECIDA]])</f>
        <v>0</v>
      </c>
      <c r="G193" s="25"/>
    </row>
    <row r="194" spans="1:7" x14ac:dyDescent="0.3">
      <c r="A194" s="2">
        <f t="shared" si="2"/>
        <v>187</v>
      </c>
      <c r="B194" s="2" t="s">
        <v>517</v>
      </c>
      <c r="C194" s="29" t="s">
        <v>1043</v>
      </c>
      <c r="D194" s="22">
        <v>0</v>
      </c>
      <c r="E194" s="22">
        <v>0</v>
      </c>
      <c r="F194" s="22">
        <f>(tbl_materiales2[[#This Row],[CANTIDAD REQUERIDA]]-tbl_materiales2[[#This Row],[CANTIDAD ABASTECIDA]])</f>
        <v>0</v>
      </c>
      <c r="G194" s="25"/>
    </row>
    <row r="195" spans="1:7" x14ac:dyDescent="0.3">
      <c r="A195" s="2">
        <f t="shared" si="2"/>
        <v>188</v>
      </c>
      <c r="B195" s="2" t="s">
        <v>518</v>
      </c>
      <c r="C195" s="29" t="s">
        <v>1025</v>
      </c>
      <c r="D195" s="22">
        <v>0</v>
      </c>
      <c r="E195" s="22">
        <v>0</v>
      </c>
      <c r="F195" s="22">
        <f>(tbl_materiales2[[#This Row],[CANTIDAD REQUERIDA]]-tbl_materiales2[[#This Row],[CANTIDAD ABASTECIDA]])</f>
        <v>0</v>
      </c>
      <c r="G195" s="25"/>
    </row>
    <row r="196" spans="1:7" x14ac:dyDescent="0.3">
      <c r="A196" s="2">
        <f t="shared" si="2"/>
        <v>189</v>
      </c>
      <c r="B196" s="2" t="s">
        <v>519</v>
      </c>
      <c r="C196" s="29" t="s">
        <v>1037</v>
      </c>
      <c r="D196" s="22">
        <v>0</v>
      </c>
      <c r="E196" s="22">
        <v>0</v>
      </c>
      <c r="F196" s="22">
        <f>(tbl_materiales2[[#This Row],[CANTIDAD REQUERIDA]]-tbl_materiales2[[#This Row],[CANTIDAD ABASTECIDA]])</f>
        <v>0</v>
      </c>
      <c r="G196" s="25"/>
    </row>
    <row r="197" spans="1:7" x14ac:dyDescent="0.3">
      <c r="A197" s="154">
        <f t="shared" si="2"/>
        <v>190</v>
      </c>
      <c r="B197" s="2" t="s">
        <v>1412</v>
      </c>
      <c r="C197" s="36" t="s">
        <v>1411</v>
      </c>
      <c r="D197" s="22">
        <v>0</v>
      </c>
      <c r="E197" s="22">
        <v>0</v>
      </c>
      <c r="F197" s="22">
        <f>(tbl_materiales2[[#This Row],[CANTIDAD REQUERIDA]]-tbl_materiales2[[#This Row],[CANTIDAD ABASTECIDA]])</f>
        <v>0</v>
      </c>
      <c r="G197" s="25"/>
    </row>
    <row r="198" spans="1:7" x14ac:dyDescent="0.3">
      <c r="A198" s="2">
        <f t="shared" si="2"/>
        <v>191</v>
      </c>
      <c r="B198" s="2" t="s">
        <v>520</v>
      </c>
      <c r="C198" s="29" t="s">
        <v>1038</v>
      </c>
      <c r="D198" s="22">
        <v>0</v>
      </c>
      <c r="E198" s="22">
        <v>0</v>
      </c>
      <c r="F198" s="22">
        <f>(tbl_materiales2[[#This Row],[CANTIDAD REQUERIDA]]-tbl_materiales2[[#This Row],[CANTIDAD ABASTECIDA]])</f>
        <v>0</v>
      </c>
      <c r="G198" s="25"/>
    </row>
    <row r="199" spans="1:7" x14ac:dyDescent="0.3">
      <c r="A199" s="2">
        <f t="shared" si="2"/>
        <v>192</v>
      </c>
      <c r="B199" s="2" t="s">
        <v>521</v>
      </c>
      <c r="C199" s="29" t="s">
        <v>1035</v>
      </c>
      <c r="D199" s="22">
        <v>0</v>
      </c>
      <c r="E199" s="22">
        <v>0</v>
      </c>
      <c r="F199" s="22">
        <f>(tbl_materiales2[[#This Row],[CANTIDAD REQUERIDA]]-tbl_materiales2[[#This Row],[CANTIDAD ABASTECIDA]])</f>
        <v>0</v>
      </c>
      <c r="G199" s="25"/>
    </row>
    <row r="200" spans="1:7" x14ac:dyDescent="0.3">
      <c r="A200" s="2">
        <f t="shared" ref="A200:A263" si="3">ROW(A200)-7</f>
        <v>193</v>
      </c>
      <c r="B200" s="2" t="s">
        <v>522</v>
      </c>
      <c r="C200" s="29" t="s">
        <v>1036</v>
      </c>
      <c r="D200" s="22">
        <v>0</v>
      </c>
      <c r="E200" s="22">
        <v>0</v>
      </c>
      <c r="F200" s="22">
        <f>(tbl_materiales2[[#This Row],[CANTIDAD REQUERIDA]]-tbl_materiales2[[#This Row],[CANTIDAD ABASTECIDA]])</f>
        <v>0</v>
      </c>
      <c r="G200" s="25"/>
    </row>
    <row r="201" spans="1:7" x14ac:dyDescent="0.3">
      <c r="A201" s="2">
        <f t="shared" si="3"/>
        <v>194</v>
      </c>
      <c r="B201" s="2" t="s">
        <v>523</v>
      </c>
      <c r="C201" s="29" t="s">
        <v>1039</v>
      </c>
      <c r="D201" s="22">
        <v>0</v>
      </c>
      <c r="E201" s="22">
        <v>0</v>
      </c>
      <c r="F201" s="22">
        <f>(tbl_materiales2[[#This Row],[CANTIDAD REQUERIDA]]-tbl_materiales2[[#This Row],[CANTIDAD ABASTECIDA]])</f>
        <v>0</v>
      </c>
      <c r="G201" s="25"/>
    </row>
    <row r="202" spans="1:7" x14ac:dyDescent="0.3">
      <c r="A202" s="2">
        <f t="shared" si="3"/>
        <v>195</v>
      </c>
      <c r="B202" s="2" t="s">
        <v>524</v>
      </c>
      <c r="C202" s="29" t="s">
        <v>1040</v>
      </c>
      <c r="D202" s="22">
        <v>0</v>
      </c>
      <c r="E202" s="22">
        <v>0</v>
      </c>
      <c r="F202" s="22">
        <f>(tbl_materiales2[[#This Row],[CANTIDAD REQUERIDA]]-tbl_materiales2[[#This Row],[CANTIDAD ABASTECIDA]])</f>
        <v>0</v>
      </c>
      <c r="G202" s="25"/>
    </row>
    <row r="203" spans="1:7" x14ac:dyDescent="0.3">
      <c r="A203" s="2">
        <f t="shared" si="3"/>
        <v>196</v>
      </c>
      <c r="B203" s="2" t="s">
        <v>525</v>
      </c>
      <c r="C203" s="29" t="s">
        <v>1041</v>
      </c>
      <c r="D203" s="22">
        <v>0</v>
      </c>
      <c r="E203" s="22">
        <v>0</v>
      </c>
      <c r="F203" s="22">
        <f>(tbl_materiales2[[#This Row],[CANTIDAD REQUERIDA]]-tbl_materiales2[[#This Row],[CANTIDAD ABASTECIDA]])</f>
        <v>0</v>
      </c>
      <c r="G203" s="25"/>
    </row>
    <row r="204" spans="1:7" x14ac:dyDescent="0.3">
      <c r="A204" s="2">
        <f t="shared" si="3"/>
        <v>197</v>
      </c>
      <c r="B204" s="2" t="s">
        <v>526</v>
      </c>
      <c r="C204" s="29" t="s">
        <v>1105</v>
      </c>
      <c r="D204" s="22">
        <v>0</v>
      </c>
      <c r="E204" s="22">
        <v>0</v>
      </c>
      <c r="F204" s="22">
        <f>(tbl_materiales2[[#This Row],[CANTIDAD REQUERIDA]]-tbl_materiales2[[#This Row],[CANTIDAD ABASTECIDA]])</f>
        <v>0</v>
      </c>
      <c r="G204" s="25"/>
    </row>
    <row r="205" spans="1:7" x14ac:dyDescent="0.3">
      <c r="A205" s="2">
        <f t="shared" si="3"/>
        <v>198</v>
      </c>
      <c r="B205" s="2" t="s">
        <v>527</v>
      </c>
      <c r="C205" s="29" t="s">
        <v>85</v>
      </c>
      <c r="D205" s="22">
        <v>0</v>
      </c>
      <c r="E205" s="22">
        <v>0</v>
      </c>
      <c r="F205" s="22">
        <f>(tbl_materiales2[[#This Row],[CANTIDAD REQUERIDA]]-tbl_materiales2[[#This Row],[CANTIDAD ABASTECIDA]])</f>
        <v>0</v>
      </c>
      <c r="G205" s="25"/>
    </row>
    <row r="206" spans="1:7" x14ac:dyDescent="0.3">
      <c r="A206" s="2">
        <f t="shared" si="3"/>
        <v>199</v>
      </c>
      <c r="B206" s="2" t="s">
        <v>528</v>
      </c>
      <c r="C206" s="29" t="s">
        <v>80</v>
      </c>
      <c r="D206" s="22">
        <v>0</v>
      </c>
      <c r="E206" s="22">
        <v>0</v>
      </c>
      <c r="F206" s="22">
        <f>(tbl_materiales2[[#This Row],[CANTIDAD REQUERIDA]]-tbl_materiales2[[#This Row],[CANTIDAD ABASTECIDA]])</f>
        <v>0</v>
      </c>
      <c r="G206" s="25"/>
    </row>
    <row r="207" spans="1:7" x14ac:dyDescent="0.3">
      <c r="A207" s="2">
        <f t="shared" si="3"/>
        <v>200</v>
      </c>
      <c r="B207" s="2" t="s">
        <v>529</v>
      </c>
      <c r="C207" s="30" t="s">
        <v>163</v>
      </c>
      <c r="D207" s="22">
        <v>0</v>
      </c>
      <c r="E207" s="22">
        <v>0</v>
      </c>
      <c r="F207" s="22">
        <f>(tbl_materiales2[[#This Row],[CANTIDAD REQUERIDA]]-tbl_materiales2[[#This Row],[CANTIDAD ABASTECIDA]])</f>
        <v>0</v>
      </c>
      <c r="G207" s="25"/>
    </row>
    <row r="208" spans="1:7" x14ac:dyDescent="0.3">
      <c r="A208" s="2">
        <f t="shared" si="3"/>
        <v>201</v>
      </c>
      <c r="B208" s="2" t="s">
        <v>530</v>
      </c>
      <c r="C208" s="30" t="s">
        <v>1044</v>
      </c>
      <c r="D208" s="22">
        <v>0</v>
      </c>
      <c r="E208" s="22">
        <v>0</v>
      </c>
      <c r="F208" s="22">
        <f>(tbl_materiales2[[#This Row],[CANTIDAD REQUERIDA]]-tbl_materiales2[[#This Row],[CANTIDAD ABASTECIDA]])</f>
        <v>0</v>
      </c>
      <c r="G208" s="25"/>
    </row>
    <row r="209" spans="1:7" x14ac:dyDescent="0.3">
      <c r="A209" s="2">
        <f t="shared" si="3"/>
        <v>202</v>
      </c>
      <c r="B209" s="2" t="s">
        <v>531</v>
      </c>
      <c r="C209" s="30" t="s">
        <v>1045</v>
      </c>
      <c r="D209" s="22">
        <v>0</v>
      </c>
      <c r="E209" s="22">
        <v>0</v>
      </c>
      <c r="F209" s="22">
        <f>(tbl_materiales2[[#This Row],[CANTIDAD REQUERIDA]]-tbl_materiales2[[#This Row],[CANTIDAD ABASTECIDA]])</f>
        <v>0</v>
      </c>
      <c r="G209" s="25"/>
    </row>
    <row r="210" spans="1:7" x14ac:dyDescent="0.3">
      <c r="A210" s="154">
        <f t="shared" si="3"/>
        <v>203</v>
      </c>
      <c r="B210" s="2" t="s">
        <v>1434</v>
      </c>
      <c r="C210" s="36" t="s">
        <v>1433</v>
      </c>
      <c r="D210" s="22">
        <v>0</v>
      </c>
      <c r="E210" s="22">
        <v>0</v>
      </c>
      <c r="F210" s="22">
        <f>(tbl_materiales2[[#This Row],[CANTIDAD REQUERIDA]]-tbl_materiales2[[#This Row],[CANTIDAD ABASTECIDA]])</f>
        <v>0</v>
      </c>
      <c r="G210" s="25"/>
    </row>
    <row r="211" spans="1:7" x14ac:dyDescent="0.3">
      <c r="A211" s="2">
        <f t="shared" si="3"/>
        <v>204</v>
      </c>
      <c r="B211" s="2" t="s">
        <v>532</v>
      </c>
      <c r="C211" s="29" t="s">
        <v>70</v>
      </c>
      <c r="D211" s="22">
        <v>0</v>
      </c>
      <c r="E211" s="22">
        <v>0</v>
      </c>
      <c r="F211" s="22">
        <f>(tbl_materiales2[[#This Row],[CANTIDAD REQUERIDA]]-tbl_materiales2[[#This Row],[CANTIDAD ABASTECIDA]])</f>
        <v>0</v>
      </c>
      <c r="G211" s="25"/>
    </row>
    <row r="212" spans="1:7" x14ac:dyDescent="0.3">
      <c r="A212" s="2">
        <f t="shared" si="3"/>
        <v>205</v>
      </c>
      <c r="B212" s="2" t="s">
        <v>533</v>
      </c>
      <c r="C212" s="29" t="s">
        <v>864</v>
      </c>
      <c r="D212" s="22">
        <v>0</v>
      </c>
      <c r="E212" s="22">
        <v>0</v>
      </c>
      <c r="F212" s="22">
        <f>(tbl_materiales2[[#This Row],[CANTIDAD REQUERIDA]]-tbl_materiales2[[#This Row],[CANTIDAD ABASTECIDA]])</f>
        <v>0</v>
      </c>
      <c r="G212" s="25"/>
    </row>
    <row r="213" spans="1:7" x14ac:dyDescent="0.3">
      <c r="A213" s="2">
        <f t="shared" si="3"/>
        <v>206</v>
      </c>
      <c r="B213" s="2" t="s">
        <v>534</v>
      </c>
      <c r="C213" s="29" t="s">
        <v>150</v>
      </c>
      <c r="D213" s="22">
        <v>0</v>
      </c>
      <c r="E213" s="22">
        <v>0</v>
      </c>
      <c r="F213" s="22">
        <f>(tbl_materiales2[[#This Row],[CANTIDAD REQUERIDA]]-tbl_materiales2[[#This Row],[CANTIDAD ABASTECIDA]])</f>
        <v>0</v>
      </c>
      <c r="G213" s="25"/>
    </row>
    <row r="214" spans="1:7" x14ac:dyDescent="0.3">
      <c r="A214" s="2">
        <f t="shared" si="3"/>
        <v>207</v>
      </c>
      <c r="B214" s="2" t="s">
        <v>535</v>
      </c>
      <c r="C214" s="29" t="s">
        <v>1046</v>
      </c>
      <c r="D214" s="22">
        <v>0</v>
      </c>
      <c r="E214" s="22">
        <v>0</v>
      </c>
      <c r="F214" s="22">
        <f>(tbl_materiales2[[#This Row],[CANTIDAD REQUERIDA]]-tbl_materiales2[[#This Row],[CANTIDAD ABASTECIDA]])</f>
        <v>0</v>
      </c>
      <c r="G214" s="25"/>
    </row>
    <row r="215" spans="1:7" x14ac:dyDescent="0.3">
      <c r="A215" s="2">
        <f t="shared" si="3"/>
        <v>208</v>
      </c>
      <c r="B215" s="2" t="s">
        <v>536</v>
      </c>
      <c r="C215" s="29" t="s">
        <v>1047</v>
      </c>
      <c r="D215" s="22">
        <v>0</v>
      </c>
      <c r="E215" s="22">
        <v>0</v>
      </c>
      <c r="F215" s="22">
        <f>(tbl_materiales2[[#This Row],[CANTIDAD REQUERIDA]]-tbl_materiales2[[#This Row],[CANTIDAD ABASTECIDA]])</f>
        <v>0</v>
      </c>
      <c r="G215" s="25"/>
    </row>
    <row r="216" spans="1:7" x14ac:dyDescent="0.3">
      <c r="A216" s="2">
        <f t="shared" si="3"/>
        <v>209</v>
      </c>
      <c r="B216" s="2" t="s">
        <v>537</v>
      </c>
      <c r="C216" s="29" t="s">
        <v>1048</v>
      </c>
      <c r="D216" s="22">
        <v>0</v>
      </c>
      <c r="E216" s="22">
        <v>0</v>
      </c>
      <c r="F216" s="22">
        <f>(tbl_materiales2[[#This Row],[CANTIDAD REQUERIDA]]-tbl_materiales2[[#This Row],[CANTIDAD ABASTECIDA]])</f>
        <v>0</v>
      </c>
      <c r="G216" s="25"/>
    </row>
    <row r="217" spans="1:7" x14ac:dyDescent="0.3">
      <c r="A217" s="2">
        <f t="shared" si="3"/>
        <v>210</v>
      </c>
      <c r="B217" s="2" t="s">
        <v>538</v>
      </c>
      <c r="C217" s="29" t="s">
        <v>43</v>
      </c>
      <c r="D217" s="22">
        <v>0</v>
      </c>
      <c r="E217" s="22">
        <v>0</v>
      </c>
      <c r="F217" s="22">
        <f>(tbl_materiales2[[#This Row],[CANTIDAD REQUERIDA]]-tbl_materiales2[[#This Row],[CANTIDAD ABASTECIDA]])</f>
        <v>0</v>
      </c>
      <c r="G217" s="25"/>
    </row>
    <row r="218" spans="1:7" x14ac:dyDescent="0.3">
      <c r="A218" s="2">
        <f t="shared" si="3"/>
        <v>211</v>
      </c>
      <c r="B218" s="2" t="s">
        <v>539</v>
      </c>
      <c r="C218" s="29" t="s">
        <v>42</v>
      </c>
      <c r="D218" s="22">
        <v>0</v>
      </c>
      <c r="E218" s="22">
        <v>0</v>
      </c>
      <c r="F218" s="22">
        <f>(tbl_materiales2[[#This Row],[CANTIDAD REQUERIDA]]-tbl_materiales2[[#This Row],[CANTIDAD ABASTECIDA]])</f>
        <v>0</v>
      </c>
      <c r="G218" s="25"/>
    </row>
    <row r="219" spans="1:7" x14ac:dyDescent="0.3">
      <c r="A219" s="2">
        <f t="shared" si="3"/>
        <v>212</v>
      </c>
      <c r="B219" s="2" t="s">
        <v>540</v>
      </c>
      <c r="C219" s="29" t="s">
        <v>50</v>
      </c>
      <c r="D219" s="22">
        <v>0</v>
      </c>
      <c r="E219" s="22">
        <v>0</v>
      </c>
      <c r="F219" s="22">
        <f>(tbl_materiales2[[#This Row],[CANTIDAD REQUERIDA]]-tbl_materiales2[[#This Row],[CANTIDAD ABASTECIDA]])</f>
        <v>0</v>
      </c>
      <c r="G219" s="25"/>
    </row>
    <row r="220" spans="1:7" x14ac:dyDescent="0.3">
      <c r="A220" s="2">
        <f t="shared" si="3"/>
        <v>213</v>
      </c>
      <c r="B220" s="2" t="s">
        <v>541</v>
      </c>
      <c r="C220" s="29" t="s">
        <v>1089</v>
      </c>
      <c r="D220" s="22">
        <v>0</v>
      </c>
      <c r="E220" s="22">
        <v>0</v>
      </c>
      <c r="F220" s="22">
        <f>(tbl_materiales2[[#This Row],[CANTIDAD REQUERIDA]]-tbl_materiales2[[#This Row],[CANTIDAD ABASTECIDA]])</f>
        <v>0</v>
      </c>
      <c r="G220" s="25"/>
    </row>
    <row r="221" spans="1:7" x14ac:dyDescent="0.3">
      <c r="A221" s="2">
        <f t="shared" si="3"/>
        <v>214</v>
      </c>
      <c r="B221" s="2" t="s">
        <v>542</v>
      </c>
      <c r="C221" s="29" t="s">
        <v>1088</v>
      </c>
      <c r="D221" s="22">
        <v>0</v>
      </c>
      <c r="E221" s="22">
        <v>0</v>
      </c>
      <c r="F221" s="22">
        <f>(tbl_materiales2[[#This Row],[CANTIDAD REQUERIDA]]-tbl_materiales2[[#This Row],[CANTIDAD ABASTECIDA]])</f>
        <v>0</v>
      </c>
      <c r="G221" s="25"/>
    </row>
    <row r="222" spans="1:7" x14ac:dyDescent="0.3">
      <c r="A222" s="2">
        <f t="shared" si="3"/>
        <v>215</v>
      </c>
      <c r="B222" s="2" t="s">
        <v>543</v>
      </c>
      <c r="C222" s="29" t="s">
        <v>1087</v>
      </c>
      <c r="D222" s="22">
        <v>0</v>
      </c>
      <c r="E222" s="22">
        <v>0</v>
      </c>
      <c r="F222" s="22">
        <f>(tbl_materiales2[[#This Row],[CANTIDAD REQUERIDA]]-tbl_materiales2[[#This Row],[CANTIDAD ABASTECIDA]])</f>
        <v>0</v>
      </c>
      <c r="G222" s="25"/>
    </row>
    <row r="223" spans="1:7" x14ac:dyDescent="0.3">
      <c r="A223" s="2">
        <f t="shared" si="3"/>
        <v>216</v>
      </c>
      <c r="B223" s="2" t="s">
        <v>544</v>
      </c>
      <c r="C223" s="29" t="s">
        <v>1086</v>
      </c>
      <c r="D223" s="22">
        <v>0</v>
      </c>
      <c r="E223" s="22">
        <v>0</v>
      </c>
      <c r="F223" s="22">
        <f>(tbl_materiales2[[#This Row],[CANTIDAD REQUERIDA]]-tbl_materiales2[[#This Row],[CANTIDAD ABASTECIDA]])</f>
        <v>0</v>
      </c>
      <c r="G223" s="25"/>
    </row>
    <row r="224" spans="1:7" x14ac:dyDescent="0.3">
      <c r="A224" s="2">
        <f t="shared" si="3"/>
        <v>217</v>
      </c>
      <c r="B224" s="2" t="s">
        <v>545</v>
      </c>
      <c r="C224" s="29" t="s">
        <v>13</v>
      </c>
      <c r="D224" s="22">
        <v>0</v>
      </c>
      <c r="E224" s="22">
        <v>0</v>
      </c>
      <c r="F224" s="22">
        <f>(tbl_materiales2[[#This Row],[CANTIDAD REQUERIDA]]-tbl_materiales2[[#This Row],[CANTIDAD ABASTECIDA]])</f>
        <v>0</v>
      </c>
      <c r="G224" s="25"/>
    </row>
    <row r="225" spans="1:7" x14ac:dyDescent="0.3">
      <c r="A225" s="2">
        <f t="shared" si="3"/>
        <v>218</v>
      </c>
      <c r="B225" s="2" t="s">
        <v>546</v>
      </c>
      <c r="C225" s="29" t="s">
        <v>1085</v>
      </c>
      <c r="D225" s="22">
        <v>0</v>
      </c>
      <c r="E225" s="22">
        <v>0</v>
      </c>
      <c r="F225" s="22">
        <f>(tbl_materiales2[[#This Row],[CANTIDAD REQUERIDA]]-tbl_materiales2[[#This Row],[CANTIDAD ABASTECIDA]])</f>
        <v>0</v>
      </c>
      <c r="G225" s="25"/>
    </row>
    <row r="226" spans="1:7" x14ac:dyDescent="0.3">
      <c r="A226" s="2">
        <f t="shared" si="3"/>
        <v>219</v>
      </c>
      <c r="B226" s="2" t="s">
        <v>547</v>
      </c>
      <c r="C226" s="29" t="s">
        <v>37</v>
      </c>
      <c r="D226" s="22">
        <v>0</v>
      </c>
      <c r="E226" s="22">
        <v>0</v>
      </c>
      <c r="F226" s="22">
        <f>(tbl_materiales2[[#This Row],[CANTIDAD REQUERIDA]]-tbl_materiales2[[#This Row],[CANTIDAD ABASTECIDA]])</f>
        <v>0</v>
      </c>
      <c r="G226" s="25"/>
    </row>
    <row r="227" spans="1:7" x14ac:dyDescent="0.3">
      <c r="A227" s="2">
        <f t="shared" si="3"/>
        <v>220</v>
      </c>
      <c r="B227" s="2" t="s">
        <v>548</v>
      </c>
      <c r="C227" s="29" t="s">
        <v>148</v>
      </c>
      <c r="D227" s="22">
        <v>0</v>
      </c>
      <c r="E227" s="22">
        <v>0</v>
      </c>
      <c r="F227" s="22">
        <f>(tbl_materiales2[[#This Row],[CANTIDAD REQUERIDA]]-tbl_materiales2[[#This Row],[CANTIDAD ABASTECIDA]])</f>
        <v>0</v>
      </c>
      <c r="G227" s="25"/>
    </row>
    <row r="228" spans="1:7" x14ac:dyDescent="0.3">
      <c r="A228" s="2">
        <f t="shared" si="3"/>
        <v>221</v>
      </c>
      <c r="B228" s="2" t="s">
        <v>549</v>
      </c>
      <c r="C228" s="29" t="s">
        <v>38</v>
      </c>
      <c r="D228" s="22">
        <v>0</v>
      </c>
      <c r="E228" s="22">
        <v>0</v>
      </c>
      <c r="F228" s="22">
        <f>(tbl_materiales2[[#This Row],[CANTIDAD REQUERIDA]]-tbl_materiales2[[#This Row],[CANTIDAD ABASTECIDA]])</f>
        <v>0</v>
      </c>
      <c r="G228" s="25"/>
    </row>
    <row r="229" spans="1:7" x14ac:dyDescent="0.3">
      <c r="A229" s="2">
        <f t="shared" si="3"/>
        <v>222</v>
      </c>
      <c r="B229" s="2" t="s">
        <v>550</v>
      </c>
      <c r="C229" s="29" t="s">
        <v>46</v>
      </c>
      <c r="D229" s="22">
        <v>0</v>
      </c>
      <c r="E229" s="22">
        <v>0</v>
      </c>
      <c r="F229" s="22">
        <f>(tbl_materiales2[[#This Row],[CANTIDAD REQUERIDA]]-tbl_materiales2[[#This Row],[CANTIDAD ABASTECIDA]])</f>
        <v>0</v>
      </c>
      <c r="G229" s="25"/>
    </row>
    <row r="230" spans="1:7" x14ac:dyDescent="0.3">
      <c r="A230" s="2">
        <f t="shared" si="3"/>
        <v>223</v>
      </c>
      <c r="B230" s="2" t="s">
        <v>551</v>
      </c>
      <c r="C230" s="31" t="s">
        <v>771</v>
      </c>
      <c r="D230" s="22">
        <v>0</v>
      </c>
      <c r="E230" s="22">
        <v>0</v>
      </c>
      <c r="F230" s="22">
        <f>(tbl_materiales2[[#This Row],[CANTIDAD REQUERIDA]]-tbl_materiales2[[#This Row],[CANTIDAD ABASTECIDA]])</f>
        <v>0</v>
      </c>
      <c r="G230" s="25"/>
    </row>
    <row r="231" spans="1:7" x14ac:dyDescent="0.3">
      <c r="A231" s="2">
        <f t="shared" si="3"/>
        <v>224</v>
      </c>
      <c r="B231" s="2" t="s">
        <v>552</v>
      </c>
      <c r="C231" s="31" t="s">
        <v>772</v>
      </c>
      <c r="D231" s="22">
        <v>0</v>
      </c>
      <c r="E231" s="22">
        <v>0</v>
      </c>
      <c r="F231" s="22">
        <f>(tbl_materiales2[[#This Row],[CANTIDAD REQUERIDA]]-tbl_materiales2[[#This Row],[CANTIDAD ABASTECIDA]])</f>
        <v>0</v>
      </c>
      <c r="G231" s="25"/>
    </row>
    <row r="232" spans="1:7" x14ac:dyDescent="0.3">
      <c r="A232" s="2">
        <f t="shared" si="3"/>
        <v>225</v>
      </c>
      <c r="B232" s="2" t="s">
        <v>553</v>
      </c>
      <c r="C232" s="31" t="s">
        <v>773</v>
      </c>
      <c r="D232" s="22">
        <v>0</v>
      </c>
      <c r="E232" s="22">
        <v>0</v>
      </c>
      <c r="F232" s="22">
        <f>(tbl_materiales2[[#This Row],[CANTIDAD REQUERIDA]]-tbl_materiales2[[#This Row],[CANTIDAD ABASTECIDA]])</f>
        <v>0</v>
      </c>
      <c r="G232" s="25"/>
    </row>
    <row r="233" spans="1:7" x14ac:dyDescent="0.3">
      <c r="A233" s="2">
        <f t="shared" si="3"/>
        <v>226</v>
      </c>
      <c r="B233" s="2" t="s">
        <v>554</v>
      </c>
      <c r="C233" s="29" t="s">
        <v>1091</v>
      </c>
      <c r="D233" s="22">
        <v>0</v>
      </c>
      <c r="E233" s="22">
        <v>0</v>
      </c>
      <c r="F233" s="22">
        <f>(tbl_materiales2[[#This Row],[CANTIDAD REQUERIDA]]-tbl_materiales2[[#This Row],[CANTIDAD ABASTECIDA]])</f>
        <v>0</v>
      </c>
      <c r="G233" s="25"/>
    </row>
    <row r="234" spans="1:7" x14ac:dyDescent="0.3">
      <c r="A234" s="2">
        <f t="shared" si="3"/>
        <v>227</v>
      </c>
      <c r="B234" s="2" t="s">
        <v>555</v>
      </c>
      <c r="C234" s="29" t="s">
        <v>12</v>
      </c>
      <c r="D234" s="22">
        <v>0</v>
      </c>
      <c r="E234" s="22">
        <v>0</v>
      </c>
      <c r="F234" s="22">
        <f>(tbl_materiales2[[#This Row],[CANTIDAD REQUERIDA]]-tbl_materiales2[[#This Row],[CANTIDAD ABASTECIDA]])</f>
        <v>0</v>
      </c>
      <c r="G234" s="25"/>
    </row>
    <row r="235" spans="1:7" x14ac:dyDescent="0.3">
      <c r="A235" s="2">
        <f t="shared" si="3"/>
        <v>228</v>
      </c>
      <c r="B235" s="2" t="s">
        <v>556</v>
      </c>
      <c r="C235" s="29" t="s">
        <v>1081</v>
      </c>
      <c r="D235" s="22">
        <v>0</v>
      </c>
      <c r="E235" s="22">
        <v>0</v>
      </c>
      <c r="F235" s="22">
        <f>(tbl_materiales2[[#This Row],[CANTIDAD REQUERIDA]]-tbl_materiales2[[#This Row],[CANTIDAD ABASTECIDA]])</f>
        <v>0</v>
      </c>
      <c r="G235" s="25"/>
    </row>
    <row r="236" spans="1:7" x14ac:dyDescent="0.3">
      <c r="A236" s="2">
        <f t="shared" si="3"/>
        <v>229</v>
      </c>
      <c r="B236" s="2" t="s">
        <v>557</v>
      </c>
      <c r="C236" s="29" t="s">
        <v>1082</v>
      </c>
      <c r="D236" s="22">
        <v>0</v>
      </c>
      <c r="E236" s="22">
        <v>0</v>
      </c>
      <c r="F236" s="22">
        <f>(tbl_materiales2[[#This Row],[CANTIDAD REQUERIDA]]-tbl_materiales2[[#This Row],[CANTIDAD ABASTECIDA]])</f>
        <v>0</v>
      </c>
      <c r="G236" s="25"/>
    </row>
    <row r="237" spans="1:7" x14ac:dyDescent="0.3">
      <c r="A237" s="2">
        <f t="shared" si="3"/>
        <v>230</v>
      </c>
      <c r="B237" s="2" t="s">
        <v>558</v>
      </c>
      <c r="C237" s="30" t="s">
        <v>1083</v>
      </c>
      <c r="D237" s="22">
        <v>0</v>
      </c>
      <c r="E237" s="22">
        <v>0</v>
      </c>
      <c r="F237" s="22">
        <f>(tbl_materiales2[[#This Row],[CANTIDAD REQUERIDA]]-tbl_materiales2[[#This Row],[CANTIDAD ABASTECIDA]])</f>
        <v>0</v>
      </c>
      <c r="G237" s="25"/>
    </row>
    <row r="238" spans="1:7" x14ac:dyDescent="0.3">
      <c r="A238" s="154">
        <f t="shared" si="3"/>
        <v>231</v>
      </c>
      <c r="B238" s="2" t="s">
        <v>1388</v>
      </c>
      <c r="C238" s="36" t="s">
        <v>1387</v>
      </c>
      <c r="D238" s="22">
        <v>0</v>
      </c>
      <c r="E238" s="22">
        <v>0</v>
      </c>
      <c r="F238" s="22">
        <f>(tbl_materiales2[[#This Row],[CANTIDAD REQUERIDA]]-tbl_materiales2[[#This Row],[CANTIDAD ABASTECIDA]])</f>
        <v>0</v>
      </c>
      <c r="G238" s="25"/>
    </row>
    <row r="239" spans="1:7" x14ac:dyDescent="0.3">
      <c r="A239" s="154">
        <f t="shared" si="3"/>
        <v>232</v>
      </c>
      <c r="B239" s="2" t="s">
        <v>1386</v>
      </c>
      <c r="C239" s="36" t="s">
        <v>1385</v>
      </c>
      <c r="D239" s="22">
        <v>0</v>
      </c>
      <c r="E239" s="22">
        <v>0</v>
      </c>
      <c r="F239" s="22">
        <f>(tbl_materiales2[[#This Row],[CANTIDAD REQUERIDA]]-tbl_materiales2[[#This Row],[CANTIDAD ABASTECIDA]])</f>
        <v>0</v>
      </c>
      <c r="G239" s="25"/>
    </row>
    <row r="240" spans="1:7" x14ac:dyDescent="0.3">
      <c r="A240" s="154">
        <f t="shared" si="3"/>
        <v>233</v>
      </c>
      <c r="B240" s="2" t="s">
        <v>1384</v>
      </c>
      <c r="C240" s="36" t="s">
        <v>1383</v>
      </c>
      <c r="D240" s="22">
        <v>0</v>
      </c>
      <c r="E240" s="22">
        <v>0</v>
      </c>
      <c r="F240" s="22">
        <f>(tbl_materiales2[[#This Row],[CANTIDAD REQUERIDA]]-tbl_materiales2[[#This Row],[CANTIDAD ABASTECIDA]])</f>
        <v>0</v>
      </c>
      <c r="G240" s="25"/>
    </row>
    <row r="241" spans="1:7" x14ac:dyDescent="0.3">
      <c r="A241" s="2">
        <f t="shared" si="3"/>
        <v>234</v>
      </c>
      <c r="B241" s="2" t="s">
        <v>559</v>
      </c>
      <c r="C241" s="29" t="s">
        <v>1084</v>
      </c>
      <c r="D241" s="22">
        <v>0</v>
      </c>
      <c r="E241" s="22">
        <v>0</v>
      </c>
      <c r="F241" s="22">
        <f>(tbl_materiales2[[#This Row],[CANTIDAD REQUERIDA]]-tbl_materiales2[[#This Row],[CANTIDAD ABASTECIDA]])</f>
        <v>0</v>
      </c>
      <c r="G241" s="25"/>
    </row>
    <row r="242" spans="1:7" x14ac:dyDescent="0.3">
      <c r="A242" s="154">
        <f t="shared" si="3"/>
        <v>235</v>
      </c>
      <c r="B242" s="2" t="s">
        <v>1379</v>
      </c>
      <c r="C242" s="36" t="s">
        <v>1380</v>
      </c>
      <c r="D242" s="22">
        <v>0</v>
      </c>
      <c r="E242" s="22">
        <v>0</v>
      </c>
      <c r="F242" s="22">
        <f>(tbl_materiales2[[#This Row],[CANTIDAD REQUERIDA]]-tbl_materiales2[[#This Row],[CANTIDAD ABASTECIDA]])</f>
        <v>0</v>
      </c>
      <c r="G242" s="25"/>
    </row>
    <row r="243" spans="1:7" x14ac:dyDescent="0.3">
      <c r="A243" s="2">
        <f t="shared" si="3"/>
        <v>236</v>
      </c>
      <c r="B243" s="2" t="s">
        <v>560</v>
      </c>
      <c r="C243" s="29" t="s">
        <v>1106</v>
      </c>
      <c r="D243" s="22">
        <v>0</v>
      </c>
      <c r="E243" s="22">
        <v>0</v>
      </c>
      <c r="F243" s="22">
        <f>(tbl_materiales2[[#This Row],[CANTIDAD REQUERIDA]]-tbl_materiales2[[#This Row],[CANTIDAD ABASTECIDA]])</f>
        <v>0</v>
      </c>
      <c r="G243" s="25"/>
    </row>
    <row r="244" spans="1:7" x14ac:dyDescent="0.3">
      <c r="A244" s="2">
        <f t="shared" si="3"/>
        <v>237</v>
      </c>
      <c r="B244" s="2" t="s">
        <v>561</v>
      </c>
      <c r="C244" s="29" t="s">
        <v>1107</v>
      </c>
      <c r="D244" s="22">
        <v>0</v>
      </c>
      <c r="E244" s="22">
        <v>0</v>
      </c>
      <c r="F244" s="22">
        <f>(tbl_materiales2[[#This Row],[CANTIDAD REQUERIDA]]-tbl_materiales2[[#This Row],[CANTIDAD ABASTECIDA]])</f>
        <v>0</v>
      </c>
      <c r="G244" s="25"/>
    </row>
    <row r="245" spans="1:7" x14ac:dyDescent="0.3">
      <c r="A245" s="154">
        <f t="shared" si="3"/>
        <v>238</v>
      </c>
      <c r="B245" s="2" t="s">
        <v>1382</v>
      </c>
      <c r="C245" s="36" t="s">
        <v>1381</v>
      </c>
      <c r="D245" s="22">
        <v>0</v>
      </c>
      <c r="E245" s="22">
        <v>0</v>
      </c>
      <c r="F245" s="22">
        <f>(tbl_materiales2[[#This Row],[CANTIDAD REQUERIDA]]-tbl_materiales2[[#This Row],[CANTIDAD ABASTECIDA]])</f>
        <v>0</v>
      </c>
      <c r="G245" s="25"/>
    </row>
    <row r="246" spans="1:7" x14ac:dyDescent="0.3">
      <c r="A246" s="2">
        <f t="shared" si="3"/>
        <v>239</v>
      </c>
      <c r="B246" s="2" t="s">
        <v>562</v>
      </c>
      <c r="C246" s="29" t="s">
        <v>1453</v>
      </c>
      <c r="D246" s="22">
        <v>0</v>
      </c>
      <c r="E246" s="22">
        <v>0</v>
      </c>
      <c r="F246" s="22">
        <f>(tbl_materiales2[[#This Row],[CANTIDAD REQUERIDA]]-tbl_materiales2[[#This Row],[CANTIDAD ABASTECIDA]])</f>
        <v>0</v>
      </c>
      <c r="G246" s="25"/>
    </row>
    <row r="247" spans="1:7" x14ac:dyDescent="0.3">
      <c r="A247" s="2">
        <f t="shared" si="3"/>
        <v>240</v>
      </c>
      <c r="B247" s="2" t="s">
        <v>563</v>
      </c>
      <c r="C247" s="30" t="s">
        <v>982</v>
      </c>
      <c r="D247" s="22">
        <v>0</v>
      </c>
      <c r="E247" s="22">
        <v>0</v>
      </c>
      <c r="F247" s="22">
        <f>(tbl_materiales2[[#This Row],[CANTIDAD REQUERIDA]]-tbl_materiales2[[#This Row],[CANTIDAD ABASTECIDA]])</f>
        <v>0</v>
      </c>
      <c r="G247" s="25"/>
    </row>
    <row r="248" spans="1:7" x14ac:dyDescent="0.3">
      <c r="A248" s="2">
        <f t="shared" si="3"/>
        <v>241</v>
      </c>
      <c r="B248" s="2" t="s">
        <v>564</v>
      </c>
      <c r="C248" s="29" t="s">
        <v>31</v>
      </c>
      <c r="D248" s="22">
        <v>0</v>
      </c>
      <c r="E248" s="22">
        <v>0</v>
      </c>
      <c r="F248" s="22">
        <f>(tbl_materiales2[[#This Row],[CANTIDAD REQUERIDA]]-tbl_materiales2[[#This Row],[CANTIDAD ABASTECIDA]])</f>
        <v>0</v>
      </c>
      <c r="G248" s="25"/>
    </row>
    <row r="249" spans="1:7" x14ac:dyDescent="0.3">
      <c r="A249" s="2">
        <f t="shared" si="3"/>
        <v>242</v>
      </c>
      <c r="B249" s="2" t="s">
        <v>565</v>
      </c>
      <c r="C249" s="29" t="s">
        <v>18</v>
      </c>
      <c r="D249" s="22">
        <v>0</v>
      </c>
      <c r="E249" s="22">
        <v>0</v>
      </c>
      <c r="F249" s="22">
        <f>(tbl_materiales2[[#This Row],[CANTIDAD REQUERIDA]]-tbl_materiales2[[#This Row],[CANTIDAD ABASTECIDA]])</f>
        <v>0</v>
      </c>
      <c r="G249" s="25"/>
    </row>
    <row r="250" spans="1:7" x14ac:dyDescent="0.3">
      <c r="A250" s="2">
        <f t="shared" si="3"/>
        <v>243</v>
      </c>
      <c r="B250" s="2" t="s">
        <v>566</v>
      </c>
      <c r="C250" s="29" t="s">
        <v>19</v>
      </c>
      <c r="D250" s="22">
        <v>0</v>
      </c>
      <c r="E250" s="22">
        <v>0</v>
      </c>
      <c r="F250" s="22">
        <f>(tbl_materiales2[[#This Row],[CANTIDAD REQUERIDA]]-tbl_materiales2[[#This Row],[CANTIDAD ABASTECIDA]])</f>
        <v>0</v>
      </c>
      <c r="G250" s="25"/>
    </row>
    <row r="251" spans="1:7" x14ac:dyDescent="0.3">
      <c r="A251" s="2">
        <f t="shared" si="3"/>
        <v>244</v>
      </c>
      <c r="B251" s="2" t="s">
        <v>567</v>
      </c>
      <c r="C251" s="29" t="s">
        <v>15</v>
      </c>
      <c r="D251" s="22">
        <v>0</v>
      </c>
      <c r="E251" s="22">
        <v>0</v>
      </c>
      <c r="F251" s="22">
        <f>(tbl_materiales2[[#This Row],[CANTIDAD REQUERIDA]]-tbl_materiales2[[#This Row],[CANTIDAD ABASTECIDA]])</f>
        <v>0</v>
      </c>
      <c r="G251" s="25"/>
    </row>
    <row r="252" spans="1:7" x14ac:dyDescent="0.3">
      <c r="A252" s="2">
        <f t="shared" si="3"/>
        <v>245</v>
      </c>
      <c r="B252" s="2" t="s">
        <v>568</v>
      </c>
      <c r="C252" s="31" t="s">
        <v>54</v>
      </c>
      <c r="D252" s="22">
        <v>0</v>
      </c>
      <c r="E252" s="22">
        <v>0</v>
      </c>
      <c r="F252" s="22">
        <f>(tbl_materiales2[[#This Row],[CANTIDAD REQUERIDA]]-tbl_materiales2[[#This Row],[CANTIDAD ABASTECIDA]])</f>
        <v>0</v>
      </c>
      <c r="G252" s="25"/>
    </row>
    <row r="253" spans="1:7" x14ac:dyDescent="0.3">
      <c r="A253" s="2">
        <f t="shared" si="3"/>
        <v>246</v>
      </c>
      <c r="B253" s="2" t="s">
        <v>569</v>
      </c>
      <c r="C253" s="31" t="s">
        <v>52</v>
      </c>
      <c r="D253" s="22">
        <v>0</v>
      </c>
      <c r="E253" s="22">
        <v>0</v>
      </c>
      <c r="F253" s="22">
        <f>(tbl_materiales2[[#This Row],[CANTIDAD REQUERIDA]]-tbl_materiales2[[#This Row],[CANTIDAD ABASTECIDA]])</f>
        <v>0</v>
      </c>
      <c r="G253" s="25"/>
    </row>
    <row r="254" spans="1:7" x14ac:dyDescent="0.3">
      <c r="A254" s="2">
        <f t="shared" si="3"/>
        <v>247</v>
      </c>
      <c r="B254" s="2" t="s">
        <v>570</v>
      </c>
      <c r="C254" s="29" t="s">
        <v>40</v>
      </c>
      <c r="D254" s="22">
        <v>0</v>
      </c>
      <c r="E254" s="22">
        <v>0</v>
      </c>
      <c r="F254" s="22">
        <f>(tbl_materiales2[[#This Row],[CANTIDAD REQUERIDA]]-tbl_materiales2[[#This Row],[CANTIDAD ABASTECIDA]])</f>
        <v>0</v>
      </c>
      <c r="G254" s="25"/>
    </row>
    <row r="255" spans="1:7" x14ac:dyDescent="0.3">
      <c r="A255" s="2">
        <f t="shared" si="3"/>
        <v>248</v>
      </c>
      <c r="B255" s="2" t="s">
        <v>571</v>
      </c>
      <c r="C255" s="32" t="s">
        <v>93</v>
      </c>
      <c r="D255" s="22">
        <v>0</v>
      </c>
      <c r="E255" s="22">
        <v>0</v>
      </c>
      <c r="F255" s="22">
        <f>(tbl_materiales2[[#This Row],[CANTIDAD REQUERIDA]]-tbl_materiales2[[#This Row],[CANTIDAD ABASTECIDA]])</f>
        <v>0</v>
      </c>
      <c r="G255" s="25"/>
    </row>
    <row r="256" spans="1:7" x14ac:dyDescent="0.3">
      <c r="A256" s="2">
        <f t="shared" si="3"/>
        <v>249</v>
      </c>
      <c r="B256" s="2" t="s">
        <v>572</v>
      </c>
      <c r="C256" s="32" t="s">
        <v>26</v>
      </c>
      <c r="D256" s="22">
        <v>0</v>
      </c>
      <c r="E256" s="22">
        <v>0</v>
      </c>
      <c r="F256" s="22">
        <f>(tbl_materiales2[[#This Row],[CANTIDAD REQUERIDA]]-tbl_materiales2[[#This Row],[CANTIDAD ABASTECIDA]])</f>
        <v>0</v>
      </c>
      <c r="G256" s="25"/>
    </row>
    <row r="257" spans="1:7" x14ac:dyDescent="0.3">
      <c r="A257" s="2">
        <f t="shared" si="3"/>
        <v>250</v>
      </c>
      <c r="B257" s="2" t="s">
        <v>573</v>
      </c>
      <c r="C257" s="32" t="s">
        <v>28</v>
      </c>
      <c r="D257" s="22">
        <v>0</v>
      </c>
      <c r="E257" s="22">
        <v>0</v>
      </c>
      <c r="F257" s="22">
        <f>(tbl_materiales2[[#This Row],[CANTIDAD REQUERIDA]]-tbl_materiales2[[#This Row],[CANTIDAD ABASTECIDA]])</f>
        <v>0</v>
      </c>
      <c r="G257" s="25"/>
    </row>
    <row r="258" spans="1:7" x14ac:dyDescent="0.3">
      <c r="A258" s="2">
        <f t="shared" si="3"/>
        <v>251</v>
      </c>
      <c r="B258" s="2" t="s">
        <v>574</v>
      </c>
      <c r="C258" s="34" t="s">
        <v>774</v>
      </c>
      <c r="D258" s="22">
        <v>0</v>
      </c>
      <c r="E258" s="22">
        <v>0</v>
      </c>
      <c r="F258" s="22">
        <f>(tbl_materiales2[[#This Row],[CANTIDAD REQUERIDA]]-tbl_materiales2[[#This Row],[CANTIDAD ABASTECIDA]])</f>
        <v>0</v>
      </c>
      <c r="G258" s="25"/>
    </row>
    <row r="259" spans="1:7" x14ac:dyDescent="0.3">
      <c r="A259" s="2">
        <f t="shared" si="3"/>
        <v>252</v>
      </c>
      <c r="B259" s="2" t="s">
        <v>575</v>
      </c>
      <c r="C259" s="33" t="s">
        <v>72</v>
      </c>
      <c r="D259" s="22">
        <v>0</v>
      </c>
      <c r="E259" s="22">
        <v>0</v>
      </c>
      <c r="F259" s="22">
        <f>(tbl_materiales2[[#This Row],[CANTIDAD REQUERIDA]]-tbl_materiales2[[#This Row],[CANTIDAD ABASTECIDA]])</f>
        <v>0</v>
      </c>
      <c r="G259" s="25"/>
    </row>
    <row r="260" spans="1:7" x14ac:dyDescent="0.3">
      <c r="A260" s="154">
        <f t="shared" si="3"/>
        <v>253</v>
      </c>
      <c r="B260" s="2" t="s">
        <v>576</v>
      </c>
      <c r="C260" s="164" t="s">
        <v>1140</v>
      </c>
      <c r="D260" s="22">
        <v>0</v>
      </c>
      <c r="E260" s="22">
        <v>0</v>
      </c>
      <c r="F260" s="22">
        <f>(tbl_materiales2[[#This Row],[CANTIDAD REQUERIDA]]-tbl_materiales2[[#This Row],[CANTIDAD ABASTECIDA]])</f>
        <v>0</v>
      </c>
      <c r="G260" s="25"/>
    </row>
    <row r="261" spans="1:7" x14ac:dyDescent="0.3">
      <c r="A261" s="2">
        <f t="shared" si="3"/>
        <v>254</v>
      </c>
      <c r="B261" s="2" t="s">
        <v>577</v>
      </c>
      <c r="C261" s="32" t="s">
        <v>45</v>
      </c>
      <c r="D261" s="22">
        <v>0</v>
      </c>
      <c r="E261" s="22">
        <v>0</v>
      </c>
      <c r="F261" s="22">
        <f>(tbl_materiales2[[#This Row],[CANTIDAD REQUERIDA]]-tbl_materiales2[[#This Row],[CANTIDAD ABASTECIDA]])</f>
        <v>0</v>
      </c>
      <c r="G261" s="25"/>
    </row>
    <row r="262" spans="1:7" x14ac:dyDescent="0.3">
      <c r="A262" s="2">
        <f t="shared" si="3"/>
        <v>255</v>
      </c>
      <c r="B262" s="2" t="s">
        <v>578</v>
      </c>
      <c r="C262" s="32" t="s">
        <v>1229</v>
      </c>
      <c r="D262" s="22">
        <v>0</v>
      </c>
      <c r="E262" s="22">
        <v>0</v>
      </c>
      <c r="F262" s="22">
        <f>(tbl_materiales2[[#This Row],[CANTIDAD REQUERIDA]]-tbl_materiales2[[#This Row],[CANTIDAD ABASTECIDA]])</f>
        <v>0</v>
      </c>
      <c r="G262" s="25"/>
    </row>
    <row r="263" spans="1:7" x14ac:dyDescent="0.3">
      <c r="A263" s="2">
        <f t="shared" si="3"/>
        <v>256</v>
      </c>
      <c r="B263" s="2" t="s">
        <v>579</v>
      </c>
      <c r="C263" s="32" t="s">
        <v>66</v>
      </c>
      <c r="D263" s="22">
        <v>0</v>
      </c>
      <c r="E263" s="22">
        <v>0</v>
      </c>
      <c r="F263" s="22">
        <f>(tbl_materiales2[[#This Row],[CANTIDAD REQUERIDA]]-tbl_materiales2[[#This Row],[CANTIDAD ABASTECIDA]])</f>
        <v>0</v>
      </c>
      <c r="G263" s="25"/>
    </row>
    <row r="264" spans="1:7" x14ac:dyDescent="0.3">
      <c r="A264" s="2">
        <f t="shared" ref="A264:A327" si="4">ROW(A264)-7</f>
        <v>257</v>
      </c>
      <c r="B264" s="2" t="s">
        <v>580</v>
      </c>
      <c r="C264" s="32" t="s">
        <v>75</v>
      </c>
      <c r="D264" s="22">
        <v>0</v>
      </c>
      <c r="E264" s="22">
        <v>0</v>
      </c>
      <c r="F264" s="22">
        <f>(tbl_materiales2[[#This Row],[CANTIDAD REQUERIDA]]-tbl_materiales2[[#This Row],[CANTIDAD ABASTECIDA]])</f>
        <v>0</v>
      </c>
      <c r="G264" s="25"/>
    </row>
    <row r="265" spans="1:7" x14ac:dyDescent="0.3">
      <c r="A265" s="2">
        <f t="shared" si="4"/>
        <v>258</v>
      </c>
      <c r="B265" s="2" t="s">
        <v>581</v>
      </c>
      <c r="C265" s="32" t="s">
        <v>55</v>
      </c>
      <c r="D265" s="22">
        <v>0</v>
      </c>
      <c r="E265" s="22">
        <v>0</v>
      </c>
      <c r="F265" s="22">
        <f>(tbl_materiales2[[#This Row],[CANTIDAD REQUERIDA]]-tbl_materiales2[[#This Row],[CANTIDAD ABASTECIDA]])</f>
        <v>0</v>
      </c>
      <c r="G265" s="25"/>
    </row>
    <row r="266" spans="1:7" x14ac:dyDescent="0.3">
      <c r="A266" s="2">
        <f t="shared" si="4"/>
        <v>259</v>
      </c>
      <c r="B266" s="2" t="s">
        <v>582</v>
      </c>
      <c r="C266" s="32" t="s">
        <v>89</v>
      </c>
      <c r="D266" s="22">
        <v>0</v>
      </c>
      <c r="E266" s="22">
        <v>0</v>
      </c>
      <c r="F266" s="22">
        <f>(tbl_materiales2[[#This Row],[CANTIDAD REQUERIDA]]-tbl_materiales2[[#This Row],[CANTIDAD ABASTECIDA]])</f>
        <v>0</v>
      </c>
      <c r="G266" s="25"/>
    </row>
    <row r="267" spans="1:7" x14ac:dyDescent="0.3">
      <c r="A267" s="2">
        <f t="shared" si="4"/>
        <v>260</v>
      </c>
      <c r="B267" s="2" t="s">
        <v>583</v>
      </c>
      <c r="C267" s="32" t="s">
        <v>64</v>
      </c>
      <c r="D267" s="22">
        <v>0</v>
      </c>
      <c r="E267" s="22">
        <v>0</v>
      </c>
      <c r="F267" s="22">
        <f>(tbl_materiales2[[#This Row],[CANTIDAD REQUERIDA]]-tbl_materiales2[[#This Row],[CANTIDAD ABASTECIDA]])</f>
        <v>0</v>
      </c>
      <c r="G267" s="25"/>
    </row>
    <row r="268" spans="1:7" x14ac:dyDescent="0.3">
      <c r="A268" s="2">
        <f t="shared" si="4"/>
        <v>261</v>
      </c>
      <c r="B268" s="2" t="s">
        <v>584</v>
      </c>
      <c r="C268" s="32" t="s">
        <v>92</v>
      </c>
      <c r="D268" s="22">
        <v>0</v>
      </c>
      <c r="E268" s="22">
        <v>0</v>
      </c>
      <c r="F268" s="22">
        <f>(tbl_materiales2[[#This Row],[CANTIDAD REQUERIDA]]-tbl_materiales2[[#This Row],[CANTIDAD ABASTECIDA]])</f>
        <v>0</v>
      </c>
      <c r="G268" s="25"/>
    </row>
    <row r="269" spans="1:7" x14ac:dyDescent="0.3">
      <c r="A269" s="154">
        <f t="shared" si="4"/>
        <v>262</v>
      </c>
      <c r="B269" s="2" t="s">
        <v>1403</v>
      </c>
      <c r="C269" s="36" t="s">
        <v>1402</v>
      </c>
      <c r="D269" s="22">
        <v>0</v>
      </c>
      <c r="E269" s="22">
        <v>0</v>
      </c>
      <c r="F269" s="22">
        <f>(tbl_materiales2[[#This Row],[CANTIDAD REQUERIDA]]-tbl_materiales2[[#This Row],[CANTIDAD ABASTECIDA]])</f>
        <v>0</v>
      </c>
      <c r="G269" s="25"/>
    </row>
    <row r="270" spans="1:7" x14ac:dyDescent="0.3">
      <c r="A270" s="154">
        <f t="shared" si="4"/>
        <v>263</v>
      </c>
      <c r="B270" s="2" t="s">
        <v>1422</v>
      </c>
      <c r="C270" s="36" t="s">
        <v>1421</v>
      </c>
      <c r="D270" s="22">
        <v>0</v>
      </c>
      <c r="E270" s="22">
        <v>0</v>
      </c>
      <c r="F270" s="22">
        <f>(tbl_materiales2[[#This Row],[CANTIDAD REQUERIDA]]-tbl_materiales2[[#This Row],[CANTIDAD ABASTECIDA]])</f>
        <v>0</v>
      </c>
      <c r="G270" s="25"/>
    </row>
    <row r="271" spans="1:7" x14ac:dyDescent="0.3">
      <c r="A271" s="154">
        <f t="shared" si="4"/>
        <v>264</v>
      </c>
      <c r="B271" s="2" t="s">
        <v>1405</v>
      </c>
      <c r="C271" s="164" t="s">
        <v>1404</v>
      </c>
      <c r="D271" s="22">
        <v>0</v>
      </c>
      <c r="E271" s="22">
        <v>0</v>
      </c>
      <c r="F271" s="22">
        <f>(tbl_materiales2[[#This Row],[CANTIDAD REQUERIDA]]-tbl_materiales2[[#This Row],[CANTIDAD ABASTECIDA]])</f>
        <v>0</v>
      </c>
      <c r="G271" s="25"/>
    </row>
    <row r="272" spans="1:7" x14ac:dyDescent="0.3">
      <c r="A272" s="2">
        <f t="shared" si="4"/>
        <v>265</v>
      </c>
      <c r="B272" s="2" t="s">
        <v>585</v>
      </c>
      <c r="C272" s="32" t="s">
        <v>1049</v>
      </c>
      <c r="D272" s="22">
        <v>0</v>
      </c>
      <c r="E272" s="22">
        <v>0</v>
      </c>
      <c r="F272" s="22">
        <f>(tbl_materiales2[[#This Row],[CANTIDAD REQUERIDA]]-tbl_materiales2[[#This Row],[CANTIDAD ABASTECIDA]])</f>
        <v>0</v>
      </c>
      <c r="G272" s="25"/>
    </row>
    <row r="273" spans="1:7" x14ac:dyDescent="0.3">
      <c r="A273" s="2">
        <f t="shared" si="4"/>
        <v>266</v>
      </c>
      <c r="B273" s="2" t="s">
        <v>586</v>
      </c>
      <c r="C273" s="32" t="s">
        <v>114</v>
      </c>
      <c r="D273" s="22">
        <v>0</v>
      </c>
      <c r="E273" s="22">
        <v>0</v>
      </c>
      <c r="F273" s="22">
        <f>(tbl_materiales2[[#This Row],[CANTIDAD REQUERIDA]]-tbl_materiales2[[#This Row],[CANTIDAD ABASTECIDA]])</f>
        <v>0</v>
      </c>
      <c r="G273" s="25"/>
    </row>
    <row r="274" spans="1:7" x14ac:dyDescent="0.3">
      <c r="A274" s="2">
        <f t="shared" si="4"/>
        <v>267</v>
      </c>
      <c r="B274" s="2" t="s">
        <v>587</v>
      </c>
      <c r="C274" s="32" t="s">
        <v>977</v>
      </c>
      <c r="D274" s="22">
        <v>0</v>
      </c>
      <c r="E274" s="22">
        <v>0</v>
      </c>
      <c r="F274" s="22">
        <f>(tbl_materiales2[[#This Row],[CANTIDAD REQUERIDA]]-tbl_materiales2[[#This Row],[CANTIDAD ABASTECIDA]])</f>
        <v>0</v>
      </c>
      <c r="G274" s="25"/>
    </row>
    <row r="275" spans="1:7" x14ac:dyDescent="0.3">
      <c r="A275" s="2">
        <f t="shared" si="4"/>
        <v>268</v>
      </c>
      <c r="B275" s="2" t="s">
        <v>588</v>
      </c>
      <c r="C275" s="32" t="s">
        <v>137</v>
      </c>
      <c r="D275" s="22">
        <v>0</v>
      </c>
      <c r="E275" s="22">
        <v>0</v>
      </c>
      <c r="F275" s="22">
        <f>(tbl_materiales2[[#This Row],[CANTIDAD REQUERIDA]]-tbl_materiales2[[#This Row],[CANTIDAD ABASTECIDA]])</f>
        <v>0</v>
      </c>
      <c r="G275" s="25"/>
    </row>
    <row r="276" spans="1:7" x14ac:dyDescent="0.3">
      <c r="A276" s="2">
        <f t="shared" si="4"/>
        <v>269</v>
      </c>
      <c r="B276" s="2" t="s">
        <v>589</v>
      </c>
      <c r="C276" s="32" t="s">
        <v>122</v>
      </c>
      <c r="D276" s="22">
        <v>0</v>
      </c>
      <c r="E276" s="22">
        <v>0</v>
      </c>
      <c r="F276" s="22">
        <f>(tbl_materiales2[[#This Row],[CANTIDAD REQUERIDA]]-tbl_materiales2[[#This Row],[CANTIDAD ABASTECIDA]])</f>
        <v>0</v>
      </c>
      <c r="G276" s="25"/>
    </row>
    <row r="277" spans="1:7" x14ac:dyDescent="0.3">
      <c r="A277" s="2">
        <f t="shared" si="4"/>
        <v>270</v>
      </c>
      <c r="B277" s="2" t="s">
        <v>590</v>
      </c>
      <c r="C277" s="32" t="s">
        <v>116</v>
      </c>
      <c r="D277" s="22">
        <v>0</v>
      </c>
      <c r="E277" s="22">
        <v>0</v>
      </c>
      <c r="F277" s="22">
        <f>(tbl_materiales2[[#This Row],[CANTIDAD REQUERIDA]]-tbl_materiales2[[#This Row],[CANTIDAD ABASTECIDA]])</f>
        <v>0</v>
      </c>
      <c r="G277" s="25"/>
    </row>
    <row r="278" spans="1:7" x14ac:dyDescent="0.3">
      <c r="A278" s="2">
        <f t="shared" si="4"/>
        <v>271</v>
      </c>
      <c r="B278" s="2" t="s">
        <v>591</v>
      </c>
      <c r="C278" s="32" t="s">
        <v>115</v>
      </c>
      <c r="D278" s="22">
        <v>0</v>
      </c>
      <c r="E278" s="22">
        <v>0</v>
      </c>
      <c r="F278" s="22">
        <f>(tbl_materiales2[[#This Row],[CANTIDAD REQUERIDA]]-tbl_materiales2[[#This Row],[CANTIDAD ABASTECIDA]])</f>
        <v>0</v>
      </c>
      <c r="G278" s="25"/>
    </row>
    <row r="279" spans="1:7" x14ac:dyDescent="0.3">
      <c r="A279" s="2">
        <f t="shared" si="4"/>
        <v>272</v>
      </c>
      <c r="B279" s="2" t="s">
        <v>592</v>
      </c>
      <c r="C279" s="32" t="s">
        <v>112</v>
      </c>
      <c r="D279" s="22">
        <v>0</v>
      </c>
      <c r="E279" s="22">
        <v>0</v>
      </c>
      <c r="F279" s="22">
        <f>(tbl_materiales2[[#This Row],[CANTIDAD REQUERIDA]]-tbl_materiales2[[#This Row],[CANTIDAD ABASTECIDA]])</f>
        <v>0</v>
      </c>
      <c r="G279" s="25"/>
    </row>
    <row r="280" spans="1:7" x14ac:dyDescent="0.3">
      <c r="A280" s="2">
        <f t="shared" si="4"/>
        <v>273</v>
      </c>
      <c r="B280" s="2" t="s">
        <v>593</v>
      </c>
      <c r="C280" s="34" t="s">
        <v>162</v>
      </c>
      <c r="D280" s="22">
        <v>0</v>
      </c>
      <c r="E280" s="22">
        <v>0</v>
      </c>
      <c r="F280" s="22">
        <f>(tbl_materiales2[[#This Row],[CANTIDAD REQUERIDA]]-tbl_materiales2[[#This Row],[CANTIDAD ABASTECIDA]])</f>
        <v>0</v>
      </c>
      <c r="G280" s="25"/>
    </row>
    <row r="281" spans="1:7" x14ac:dyDescent="0.3">
      <c r="A281" s="2">
        <f t="shared" si="4"/>
        <v>274</v>
      </c>
      <c r="B281" s="2" t="s">
        <v>594</v>
      </c>
      <c r="C281" s="32" t="s">
        <v>106</v>
      </c>
      <c r="D281" s="22">
        <v>0</v>
      </c>
      <c r="E281" s="22">
        <v>0</v>
      </c>
      <c r="F281" s="22">
        <f>(tbl_materiales2[[#This Row],[CANTIDAD REQUERIDA]]-tbl_materiales2[[#This Row],[CANTIDAD ABASTECIDA]])</f>
        <v>0</v>
      </c>
      <c r="G281" s="25"/>
    </row>
    <row r="282" spans="1:7" x14ac:dyDescent="0.3">
      <c r="A282" s="154">
        <f t="shared" si="4"/>
        <v>275</v>
      </c>
      <c r="B282" s="2" t="s">
        <v>1401</v>
      </c>
      <c r="C282" s="164" t="s">
        <v>1399</v>
      </c>
      <c r="D282" s="22">
        <v>0</v>
      </c>
      <c r="E282" s="22">
        <v>0</v>
      </c>
      <c r="F282" s="22">
        <f>(tbl_materiales2[[#This Row],[CANTIDAD REQUERIDA]]-tbl_materiales2[[#This Row],[CANTIDAD ABASTECIDA]])</f>
        <v>0</v>
      </c>
      <c r="G282" s="25"/>
    </row>
    <row r="283" spans="1:7" x14ac:dyDescent="0.3">
      <c r="A283" s="2">
        <f t="shared" si="4"/>
        <v>276</v>
      </c>
      <c r="B283" s="2" t="s">
        <v>595</v>
      </c>
      <c r="C283" s="32" t="s">
        <v>98</v>
      </c>
      <c r="D283" s="22">
        <v>0</v>
      </c>
      <c r="E283" s="22">
        <v>0</v>
      </c>
      <c r="F283" s="22">
        <f>(tbl_materiales2[[#This Row],[CANTIDAD REQUERIDA]]-tbl_materiales2[[#This Row],[CANTIDAD ABASTECIDA]])</f>
        <v>0</v>
      </c>
      <c r="G283" s="25"/>
    </row>
    <row r="284" spans="1:7" x14ac:dyDescent="0.3">
      <c r="A284" s="2">
        <f t="shared" si="4"/>
        <v>277</v>
      </c>
      <c r="B284" s="2" t="s">
        <v>596</v>
      </c>
      <c r="C284" s="32" t="s">
        <v>117</v>
      </c>
      <c r="D284" s="22">
        <v>0</v>
      </c>
      <c r="E284" s="22">
        <v>0</v>
      </c>
      <c r="F284" s="22">
        <f>(tbl_materiales2[[#This Row],[CANTIDAD REQUERIDA]]-tbl_materiales2[[#This Row],[CANTIDAD ABASTECIDA]])</f>
        <v>0</v>
      </c>
      <c r="G284" s="25"/>
    </row>
    <row r="285" spans="1:7" x14ac:dyDescent="0.3">
      <c r="A285" s="2">
        <f t="shared" si="4"/>
        <v>278</v>
      </c>
      <c r="B285" s="2" t="s">
        <v>597</v>
      </c>
      <c r="C285" s="34" t="s">
        <v>1400</v>
      </c>
      <c r="D285" s="22">
        <v>0</v>
      </c>
      <c r="E285" s="22">
        <v>0</v>
      </c>
      <c r="F285" s="22">
        <f>(tbl_materiales2[[#This Row],[CANTIDAD REQUERIDA]]-tbl_materiales2[[#This Row],[CANTIDAD ABASTECIDA]])</f>
        <v>0</v>
      </c>
      <c r="G285" s="25"/>
    </row>
    <row r="286" spans="1:7" x14ac:dyDescent="0.3">
      <c r="A286" s="2">
        <f t="shared" si="4"/>
        <v>279</v>
      </c>
      <c r="B286" s="2" t="s">
        <v>598</v>
      </c>
      <c r="C286" s="32" t="s">
        <v>102</v>
      </c>
      <c r="D286" s="22">
        <v>0</v>
      </c>
      <c r="E286" s="22">
        <v>0</v>
      </c>
      <c r="F286" s="22">
        <f>(tbl_materiales2[[#This Row],[CANTIDAD REQUERIDA]]-tbl_materiales2[[#This Row],[CANTIDAD ABASTECIDA]])</f>
        <v>0</v>
      </c>
      <c r="G286" s="25"/>
    </row>
    <row r="287" spans="1:7" x14ac:dyDescent="0.3">
      <c r="A287" s="2">
        <f t="shared" si="4"/>
        <v>280</v>
      </c>
      <c r="B287" s="2" t="s">
        <v>777</v>
      </c>
      <c r="C287" s="34" t="s">
        <v>158</v>
      </c>
      <c r="D287" s="22">
        <v>0</v>
      </c>
      <c r="E287" s="22">
        <v>0</v>
      </c>
      <c r="F287" s="22">
        <f>(tbl_materiales2[[#This Row],[CANTIDAD REQUERIDA]]-tbl_materiales2[[#This Row],[CANTIDAD ABASTECIDA]])</f>
        <v>0</v>
      </c>
      <c r="G287" s="25"/>
    </row>
    <row r="288" spans="1:7" x14ac:dyDescent="0.3">
      <c r="A288" s="2">
        <f t="shared" si="4"/>
        <v>281</v>
      </c>
      <c r="B288" s="2" t="s">
        <v>599</v>
      </c>
      <c r="C288" s="32" t="s">
        <v>123</v>
      </c>
      <c r="D288" s="22">
        <v>0</v>
      </c>
      <c r="E288" s="22">
        <v>0</v>
      </c>
      <c r="F288" s="22">
        <f>(tbl_materiales2[[#This Row],[CANTIDAD REQUERIDA]]-tbl_materiales2[[#This Row],[CANTIDAD ABASTECIDA]])</f>
        <v>0</v>
      </c>
      <c r="G288" s="25"/>
    </row>
    <row r="289" spans="1:7" x14ac:dyDescent="0.3">
      <c r="A289" s="2">
        <f t="shared" si="4"/>
        <v>282</v>
      </c>
      <c r="B289" s="2" t="s">
        <v>600</v>
      </c>
      <c r="C289" s="32" t="s">
        <v>1108</v>
      </c>
      <c r="D289" s="22">
        <v>0</v>
      </c>
      <c r="E289" s="22">
        <v>0</v>
      </c>
      <c r="F289" s="22">
        <f>(tbl_materiales2[[#This Row],[CANTIDAD REQUERIDA]]-tbl_materiales2[[#This Row],[CANTIDAD ABASTECIDA]])</f>
        <v>0</v>
      </c>
      <c r="G289" s="25"/>
    </row>
    <row r="290" spans="1:7" x14ac:dyDescent="0.3">
      <c r="A290" s="2">
        <f t="shared" si="4"/>
        <v>283</v>
      </c>
      <c r="B290" s="2" t="s">
        <v>601</v>
      </c>
      <c r="C290" s="32" t="s">
        <v>1109</v>
      </c>
      <c r="D290" s="22">
        <v>0</v>
      </c>
      <c r="E290" s="22">
        <v>0</v>
      </c>
      <c r="F290" s="22">
        <f>(tbl_materiales2[[#This Row],[CANTIDAD REQUERIDA]]-tbl_materiales2[[#This Row],[CANTIDAD ABASTECIDA]])</f>
        <v>0</v>
      </c>
      <c r="G290" s="25"/>
    </row>
    <row r="291" spans="1:7" x14ac:dyDescent="0.3">
      <c r="A291" s="2">
        <f t="shared" si="4"/>
        <v>284</v>
      </c>
      <c r="B291" s="2" t="s">
        <v>602</v>
      </c>
      <c r="C291" s="32" t="s">
        <v>1110</v>
      </c>
      <c r="D291" s="22">
        <v>0</v>
      </c>
      <c r="E291" s="22">
        <v>0</v>
      </c>
      <c r="F291" s="22">
        <f>(tbl_materiales2[[#This Row],[CANTIDAD REQUERIDA]]-tbl_materiales2[[#This Row],[CANTIDAD ABASTECIDA]])</f>
        <v>0</v>
      </c>
      <c r="G291" s="25"/>
    </row>
    <row r="292" spans="1:7" x14ac:dyDescent="0.3">
      <c r="A292" s="2">
        <f t="shared" si="4"/>
        <v>285</v>
      </c>
      <c r="B292" s="2" t="s">
        <v>603</v>
      </c>
      <c r="C292" s="32" t="s">
        <v>1111</v>
      </c>
      <c r="D292" s="22">
        <v>0</v>
      </c>
      <c r="E292" s="22">
        <v>0</v>
      </c>
      <c r="F292" s="22">
        <f>(tbl_materiales2[[#This Row],[CANTIDAD REQUERIDA]]-tbl_materiales2[[#This Row],[CANTIDAD ABASTECIDA]])</f>
        <v>0</v>
      </c>
      <c r="G292" s="25"/>
    </row>
    <row r="293" spans="1:7" x14ac:dyDescent="0.3">
      <c r="A293" s="2">
        <f t="shared" si="4"/>
        <v>286</v>
      </c>
      <c r="B293" s="2" t="s">
        <v>604</v>
      </c>
      <c r="C293" s="32" t="s">
        <v>1112</v>
      </c>
      <c r="D293" s="22">
        <v>0</v>
      </c>
      <c r="E293" s="22">
        <v>0</v>
      </c>
      <c r="F293" s="22">
        <f>(tbl_materiales2[[#This Row],[CANTIDAD REQUERIDA]]-tbl_materiales2[[#This Row],[CANTIDAD ABASTECIDA]])</f>
        <v>0</v>
      </c>
      <c r="G293" s="25"/>
    </row>
    <row r="294" spans="1:7" x14ac:dyDescent="0.3">
      <c r="A294" s="2">
        <f t="shared" si="4"/>
        <v>287</v>
      </c>
      <c r="B294" s="2" t="s">
        <v>605</v>
      </c>
      <c r="C294" s="32" t="s">
        <v>1113</v>
      </c>
      <c r="D294" s="22">
        <v>0</v>
      </c>
      <c r="E294" s="22">
        <v>0</v>
      </c>
      <c r="F294" s="22">
        <f>(tbl_materiales2[[#This Row],[CANTIDAD REQUERIDA]]-tbl_materiales2[[#This Row],[CANTIDAD ABASTECIDA]])</f>
        <v>0</v>
      </c>
      <c r="G294" s="25"/>
    </row>
    <row r="295" spans="1:7" x14ac:dyDescent="0.3">
      <c r="A295" s="2">
        <f t="shared" si="4"/>
        <v>288</v>
      </c>
      <c r="B295" s="2" t="s">
        <v>606</v>
      </c>
      <c r="C295" s="33" t="s">
        <v>1114</v>
      </c>
      <c r="D295" s="22">
        <v>0</v>
      </c>
      <c r="E295" s="22">
        <v>0</v>
      </c>
      <c r="F295" s="22">
        <f>(tbl_materiales2[[#This Row],[CANTIDAD REQUERIDA]]-tbl_materiales2[[#This Row],[CANTIDAD ABASTECIDA]])</f>
        <v>0</v>
      </c>
      <c r="G295" s="25"/>
    </row>
    <row r="296" spans="1:7" x14ac:dyDescent="0.3">
      <c r="A296" s="2">
        <f t="shared" si="4"/>
        <v>289</v>
      </c>
      <c r="B296" s="2" t="s">
        <v>607</v>
      </c>
      <c r="C296" s="33" t="s">
        <v>1115</v>
      </c>
      <c r="D296" s="22">
        <v>0</v>
      </c>
      <c r="E296" s="22">
        <v>0</v>
      </c>
      <c r="F296" s="22">
        <f>(tbl_materiales2[[#This Row],[CANTIDAD REQUERIDA]]-tbl_materiales2[[#This Row],[CANTIDAD ABASTECIDA]])</f>
        <v>0</v>
      </c>
      <c r="G296" s="25"/>
    </row>
    <row r="297" spans="1:7" x14ac:dyDescent="0.3">
      <c r="A297" s="2">
        <f t="shared" si="4"/>
        <v>290</v>
      </c>
      <c r="B297" s="2" t="s">
        <v>608</v>
      </c>
      <c r="C297" s="32" t="s">
        <v>1050</v>
      </c>
      <c r="D297" s="22">
        <v>0</v>
      </c>
      <c r="E297" s="22">
        <v>0</v>
      </c>
      <c r="F297" s="22">
        <f>(tbl_materiales2[[#This Row],[CANTIDAD REQUERIDA]]-tbl_materiales2[[#This Row],[CANTIDAD ABASTECIDA]])</f>
        <v>0</v>
      </c>
      <c r="G297" s="25"/>
    </row>
    <row r="298" spans="1:7" x14ac:dyDescent="0.3">
      <c r="A298" s="2">
        <f t="shared" si="4"/>
        <v>291</v>
      </c>
      <c r="B298" s="2" t="s">
        <v>609</v>
      </c>
      <c r="C298" s="32" t="s">
        <v>1051</v>
      </c>
      <c r="D298" s="22">
        <v>0</v>
      </c>
      <c r="E298" s="22">
        <v>0</v>
      </c>
      <c r="F298" s="22">
        <f>(tbl_materiales2[[#This Row],[CANTIDAD REQUERIDA]]-tbl_materiales2[[#This Row],[CANTIDAD ABASTECIDA]])</f>
        <v>0</v>
      </c>
      <c r="G298" s="25"/>
    </row>
    <row r="299" spans="1:7" x14ac:dyDescent="0.3">
      <c r="A299" s="2">
        <f t="shared" si="4"/>
        <v>292</v>
      </c>
      <c r="B299" s="2" t="s">
        <v>610</v>
      </c>
      <c r="C299" s="32" t="s">
        <v>1052</v>
      </c>
      <c r="D299" s="22">
        <v>0</v>
      </c>
      <c r="E299" s="22">
        <v>0</v>
      </c>
      <c r="F299" s="22">
        <f>(tbl_materiales2[[#This Row],[CANTIDAD REQUERIDA]]-tbl_materiales2[[#This Row],[CANTIDAD ABASTECIDA]])</f>
        <v>0</v>
      </c>
      <c r="G299" s="25"/>
    </row>
    <row r="300" spans="1:7" x14ac:dyDescent="0.3">
      <c r="A300" s="2">
        <f t="shared" si="4"/>
        <v>293</v>
      </c>
      <c r="B300" s="2" t="s">
        <v>611</v>
      </c>
      <c r="C300" s="32" t="s">
        <v>1090</v>
      </c>
      <c r="D300" s="22">
        <v>0</v>
      </c>
      <c r="E300" s="22">
        <v>0</v>
      </c>
      <c r="F300" s="22">
        <f>(tbl_materiales2[[#This Row],[CANTIDAD REQUERIDA]]-tbl_materiales2[[#This Row],[CANTIDAD ABASTECIDA]])</f>
        <v>0</v>
      </c>
      <c r="G300" s="25"/>
    </row>
    <row r="301" spans="1:7" x14ac:dyDescent="0.3">
      <c r="A301" s="2">
        <f t="shared" si="4"/>
        <v>294</v>
      </c>
      <c r="B301" s="2" t="s">
        <v>612</v>
      </c>
      <c r="C301" s="32" t="s">
        <v>971</v>
      </c>
      <c r="D301" s="22">
        <v>0</v>
      </c>
      <c r="E301" s="22">
        <v>0</v>
      </c>
      <c r="F301" s="22">
        <f>(tbl_materiales2[[#This Row],[CANTIDAD REQUERIDA]]-tbl_materiales2[[#This Row],[CANTIDAD ABASTECIDA]])</f>
        <v>0</v>
      </c>
      <c r="G301" s="25"/>
    </row>
    <row r="302" spans="1:7" x14ac:dyDescent="0.3">
      <c r="A302" s="2">
        <f t="shared" si="4"/>
        <v>295</v>
      </c>
      <c r="B302" s="2" t="s">
        <v>613</v>
      </c>
      <c r="C302" s="32" t="s">
        <v>136</v>
      </c>
      <c r="D302" s="22">
        <v>0</v>
      </c>
      <c r="E302" s="22">
        <v>0</v>
      </c>
      <c r="F302" s="22">
        <f>(tbl_materiales2[[#This Row],[CANTIDAD REQUERIDA]]-tbl_materiales2[[#This Row],[CANTIDAD ABASTECIDA]])</f>
        <v>0</v>
      </c>
      <c r="G302" s="25"/>
    </row>
    <row r="303" spans="1:7" x14ac:dyDescent="0.3">
      <c r="A303" s="2">
        <f t="shared" si="4"/>
        <v>296</v>
      </c>
      <c r="B303" s="2" t="s">
        <v>614</v>
      </c>
      <c r="C303" s="33" t="s">
        <v>1215</v>
      </c>
      <c r="D303" s="22">
        <v>0</v>
      </c>
      <c r="E303" s="22">
        <v>0</v>
      </c>
      <c r="F303" s="22">
        <f>(tbl_materiales2[[#This Row],[CANTIDAD REQUERIDA]]-tbl_materiales2[[#This Row],[CANTIDAD ABASTECIDA]])</f>
        <v>0</v>
      </c>
      <c r="G303" s="25"/>
    </row>
    <row r="304" spans="1:7" x14ac:dyDescent="0.3">
      <c r="A304" s="2">
        <f t="shared" si="4"/>
        <v>297</v>
      </c>
      <c r="B304" s="2" t="s">
        <v>615</v>
      </c>
      <c r="C304" s="33" t="s">
        <v>1053</v>
      </c>
      <c r="D304" s="22">
        <v>0</v>
      </c>
      <c r="E304" s="22">
        <v>0</v>
      </c>
      <c r="F304" s="22">
        <f>(tbl_materiales2[[#This Row],[CANTIDAD REQUERIDA]]-tbl_materiales2[[#This Row],[CANTIDAD ABASTECIDA]])</f>
        <v>0</v>
      </c>
      <c r="G304" s="25"/>
    </row>
    <row r="305" spans="1:7" x14ac:dyDescent="0.3">
      <c r="A305" s="2">
        <f t="shared" si="4"/>
        <v>298</v>
      </c>
      <c r="B305" s="2" t="s">
        <v>616</v>
      </c>
      <c r="C305" s="33" t="s">
        <v>1054</v>
      </c>
      <c r="D305" s="22">
        <v>0</v>
      </c>
      <c r="E305" s="22">
        <v>0</v>
      </c>
      <c r="F305" s="22">
        <f>(tbl_materiales2[[#This Row],[CANTIDAD REQUERIDA]]-tbl_materiales2[[#This Row],[CANTIDAD ABASTECIDA]])</f>
        <v>0</v>
      </c>
      <c r="G305" s="25"/>
    </row>
    <row r="306" spans="1:7" x14ac:dyDescent="0.3">
      <c r="A306" s="2">
        <f t="shared" si="4"/>
        <v>299</v>
      </c>
      <c r="B306" s="2" t="s">
        <v>617</v>
      </c>
      <c r="C306" s="32" t="s">
        <v>67</v>
      </c>
      <c r="D306" s="22">
        <v>0</v>
      </c>
      <c r="E306" s="22">
        <v>0</v>
      </c>
      <c r="F306" s="22">
        <f>(tbl_materiales2[[#This Row],[CANTIDAD REQUERIDA]]-tbl_materiales2[[#This Row],[CANTIDAD ABASTECIDA]])</f>
        <v>0</v>
      </c>
      <c r="G306" s="25"/>
    </row>
    <row r="307" spans="1:7" x14ac:dyDescent="0.3">
      <c r="A307" s="2">
        <f t="shared" si="4"/>
        <v>300</v>
      </c>
      <c r="B307" s="2" t="s">
        <v>618</v>
      </c>
      <c r="C307" s="32" t="s">
        <v>69</v>
      </c>
      <c r="D307" s="22">
        <v>0</v>
      </c>
      <c r="E307" s="22">
        <v>0</v>
      </c>
      <c r="F307" s="22">
        <f>(tbl_materiales2[[#This Row],[CANTIDAD REQUERIDA]]-tbl_materiales2[[#This Row],[CANTIDAD ABASTECIDA]])</f>
        <v>0</v>
      </c>
      <c r="G307" s="25"/>
    </row>
    <row r="308" spans="1:7" x14ac:dyDescent="0.3">
      <c r="A308" s="2">
        <f t="shared" si="4"/>
        <v>301</v>
      </c>
      <c r="B308" s="2" t="s">
        <v>619</v>
      </c>
      <c r="C308" s="34" t="s">
        <v>1061</v>
      </c>
      <c r="D308" s="22">
        <v>0</v>
      </c>
      <c r="E308" s="22">
        <v>0</v>
      </c>
      <c r="F308" s="22">
        <f>(tbl_materiales2[[#This Row],[CANTIDAD REQUERIDA]]-tbl_materiales2[[#This Row],[CANTIDAD ABASTECIDA]])</f>
        <v>0</v>
      </c>
      <c r="G308" s="25"/>
    </row>
    <row r="309" spans="1:7" x14ac:dyDescent="0.3">
      <c r="A309" s="2">
        <f t="shared" si="4"/>
        <v>302</v>
      </c>
      <c r="B309" s="2" t="s">
        <v>620</v>
      </c>
      <c r="C309" s="34" t="s">
        <v>1060</v>
      </c>
      <c r="D309" s="22">
        <v>0</v>
      </c>
      <c r="E309" s="22">
        <v>0</v>
      </c>
      <c r="F309" s="22">
        <f>(tbl_materiales2[[#This Row],[CANTIDAD REQUERIDA]]-tbl_materiales2[[#This Row],[CANTIDAD ABASTECIDA]])</f>
        <v>0</v>
      </c>
      <c r="G309" s="25"/>
    </row>
    <row r="310" spans="1:7" x14ac:dyDescent="0.3">
      <c r="A310" s="2">
        <f t="shared" si="4"/>
        <v>303</v>
      </c>
      <c r="B310" s="2" t="s">
        <v>621</v>
      </c>
      <c r="C310" s="34" t="s">
        <v>1059</v>
      </c>
      <c r="D310" s="22">
        <v>0</v>
      </c>
      <c r="E310" s="22">
        <v>0</v>
      </c>
      <c r="F310" s="22">
        <f>(tbl_materiales2[[#This Row],[CANTIDAD REQUERIDA]]-tbl_materiales2[[#This Row],[CANTIDAD ABASTECIDA]])</f>
        <v>0</v>
      </c>
      <c r="G310" s="25"/>
    </row>
    <row r="311" spans="1:7" x14ac:dyDescent="0.3">
      <c r="A311" s="2">
        <f t="shared" si="4"/>
        <v>304</v>
      </c>
      <c r="B311" s="2" t="s">
        <v>622</v>
      </c>
      <c r="C311" s="34" t="s">
        <v>1058</v>
      </c>
      <c r="D311" s="22">
        <v>0</v>
      </c>
      <c r="E311" s="22">
        <v>0</v>
      </c>
      <c r="F311" s="22">
        <f>(tbl_materiales2[[#This Row],[CANTIDAD REQUERIDA]]-tbl_materiales2[[#This Row],[CANTIDAD ABASTECIDA]])</f>
        <v>0</v>
      </c>
      <c r="G311" s="25"/>
    </row>
    <row r="312" spans="1:7" x14ac:dyDescent="0.3">
      <c r="A312" s="2">
        <f t="shared" si="4"/>
        <v>305</v>
      </c>
      <c r="B312" s="2" t="s">
        <v>623</v>
      </c>
      <c r="C312" s="32" t="s">
        <v>978</v>
      </c>
      <c r="D312" s="22">
        <v>0</v>
      </c>
      <c r="E312" s="22">
        <v>0</v>
      </c>
      <c r="F312" s="22">
        <f>(tbl_materiales2[[#This Row],[CANTIDAD REQUERIDA]]-tbl_materiales2[[#This Row],[CANTIDAD ABASTECIDA]])</f>
        <v>0</v>
      </c>
      <c r="G312" s="25"/>
    </row>
    <row r="313" spans="1:7" x14ac:dyDescent="0.3">
      <c r="A313" s="2">
        <f t="shared" si="4"/>
        <v>306</v>
      </c>
      <c r="B313" s="2" t="s">
        <v>624</v>
      </c>
      <c r="C313" s="34" t="s">
        <v>1057</v>
      </c>
      <c r="D313" s="22">
        <v>0</v>
      </c>
      <c r="E313" s="22">
        <v>0</v>
      </c>
      <c r="F313" s="22">
        <f>(tbl_materiales2[[#This Row],[CANTIDAD REQUERIDA]]-tbl_materiales2[[#This Row],[CANTIDAD ABASTECIDA]])</f>
        <v>0</v>
      </c>
      <c r="G313" s="25"/>
    </row>
    <row r="314" spans="1:7" x14ac:dyDescent="0.3">
      <c r="A314" s="2">
        <f t="shared" si="4"/>
        <v>307</v>
      </c>
      <c r="B314" s="2" t="s">
        <v>625</v>
      </c>
      <c r="C314" s="32" t="s">
        <v>130</v>
      </c>
      <c r="D314" s="22">
        <v>0</v>
      </c>
      <c r="E314" s="22">
        <v>0</v>
      </c>
      <c r="F314" s="22">
        <f>(tbl_materiales2[[#This Row],[CANTIDAD REQUERIDA]]-tbl_materiales2[[#This Row],[CANTIDAD ABASTECIDA]])</f>
        <v>0</v>
      </c>
      <c r="G314" s="25"/>
    </row>
    <row r="315" spans="1:7" x14ac:dyDescent="0.3">
      <c r="A315" s="2">
        <f t="shared" si="4"/>
        <v>308</v>
      </c>
      <c r="B315" s="2" t="s">
        <v>626</v>
      </c>
      <c r="C315" s="32" t="s">
        <v>1055</v>
      </c>
      <c r="D315" s="22">
        <v>0</v>
      </c>
      <c r="E315" s="22">
        <v>0</v>
      </c>
      <c r="F315" s="22">
        <f>(tbl_materiales2[[#This Row],[CANTIDAD REQUERIDA]]-tbl_materiales2[[#This Row],[CANTIDAD ABASTECIDA]])</f>
        <v>0</v>
      </c>
      <c r="G315" s="25"/>
    </row>
    <row r="316" spans="1:7" x14ac:dyDescent="0.3">
      <c r="A316" s="2">
        <f t="shared" si="4"/>
        <v>309</v>
      </c>
      <c r="B316" s="2" t="s">
        <v>627</v>
      </c>
      <c r="C316" s="32" t="s">
        <v>1056</v>
      </c>
      <c r="D316" s="22">
        <v>0</v>
      </c>
      <c r="E316" s="22">
        <v>0</v>
      </c>
      <c r="F316" s="22">
        <f>(tbl_materiales2[[#This Row],[CANTIDAD REQUERIDA]]-tbl_materiales2[[#This Row],[CANTIDAD ABASTECIDA]])</f>
        <v>0</v>
      </c>
      <c r="G316" s="25"/>
    </row>
    <row r="317" spans="1:7" x14ac:dyDescent="0.3">
      <c r="A317" s="2">
        <f t="shared" si="4"/>
        <v>310</v>
      </c>
      <c r="B317" s="2" t="s">
        <v>628</v>
      </c>
      <c r="C317" s="32" t="s">
        <v>104</v>
      </c>
      <c r="D317" s="22">
        <v>0</v>
      </c>
      <c r="E317" s="22">
        <v>0</v>
      </c>
      <c r="F317" s="22">
        <f>(tbl_materiales2[[#This Row],[CANTIDAD REQUERIDA]]-tbl_materiales2[[#This Row],[CANTIDAD ABASTECIDA]])</f>
        <v>0</v>
      </c>
      <c r="G317" s="25"/>
    </row>
    <row r="318" spans="1:7" x14ac:dyDescent="0.3">
      <c r="A318" s="2">
        <f t="shared" si="4"/>
        <v>311</v>
      </c>
      <c r="B318" s="2" t="s">
        <v>629</v>
      </c>
      <c r="C318" s="32" t="s">
        <v>126</v>
      </c>
      <c r="D318" s="22">
        <v>0</v>
      </c>
      <c r="E318" s="22">
        <v>0</v>
      </c>
      <c r="F318" s="22">
        <f>(tbl_materiales2[[#This Row],[CANTIDAD REQUERIDA]]-tbl_materiales2[[#This Row],[CANTIDAD ABASTECIDA]])</f>
        <v>0</v>
      </c>
      <c r="G318" s="25"/>
    </row>
    <row r="319" spans="1:7" x14ac:dyDescent="0.3">
      <c r="A319" s="2">
        <f t="shared" si="4"/>
        <v>312</v>
      </c>
      <c r="B319" s="2" t="s">
        <v>630</v>
      </c>
      <c r="C319" s="32" t="s">
        <v>125</v>
      </c>
      <c r="D319" s="22">
        <v>0</v>
      </c>
      <c r="E319" s="22">
        <v>0</v>
      </c>
      <c r="F319" s="22">
        <f>(tbl_materiales2[[#This Row],[CANTIDAD REQUERIDA]]-tbl_materiales2[[#This Row],[CANTIDAD ABASTECIDA]])</f>
        <v>0</v>
      </c>
      <c r="G319" s="25"/>
    </row>
    <row r="320" spans="1:7" x14ac:dyDescent="0.3">
      <c r="A320" s="2">
        <f t="shared" si="4"/>
        <v>313</v>
      </c>
      <c r="B320" s="2" t="s">
        <v>631</v>
      </c>
      <c r="C320" s="32" t="s">
        <v>131</v>
      </c>
      <c r="D320" s="22">
        <v>0</v>
      </c>
      <c r="E320" s="22">
        <v>0</v>
      </c>
      <c r="F320" s="22">
        <f>(tbl_materiales2[[#This Row],[CANTIDAD REQUERIDA]]-tbl_materiales2[[#This Row],[CANTIDAD ABASTECIDA]])</f>
        <v>0</v>
      </c>
      <c r="G320" s="25"/>
    </row>
    <row r="321" spans="1:7" x14ac:dyDescent="0.3">
      <c r="A321" s="2">
        <f t="shared" si="4"/>
        <v>314</v>
      </c>
      <c r="B321" s="2" t="s">
        <v>632</v>
      </c>
      <c r="C321" s="32" t="s">
        <v>1408</v>
      </c>
      <c r="D321" s="22">
        <v>0</v>
      </c>
      <c r="E321" s="22">
        <v>0</v>
      </c>
      <c r="F321" s="22">
        <f>(tbl_materiales2[[#This Row],[CANTIDAD REQUERIDA]]-tbl_materiales2[[#This Row],[CANTIDAD ABASTECIDA]])</f>
        <v>0</v>
      </c>
      <c r="G321" s="25"/>
    </row>
    <row r="322" spans="1:7" x14ac:dyDescent="0.3">
      <c r="A322" s="2">
        <f t="shared" si="4"/>
        <v>315</v>
      </c>
      <c r="B322" s="2" t="s">
        <v>633</v>
      </c>
      <c r="C322" s="32" t="s">
        <v>1409</v>
      </c>
      <c r="D322" s="22">
        <v>0</v>
      </c>
      <c r="E322" s="22">
        <v>0</v>
      </c>
      <c r="F322" s="22">
        <f>(tbl_materiales2[[#This Row],[CANTIDAD REQUERIDA]]-tbl_materiales2[[#This Row],[CANTIDAD ABASTECIDA]])</f>
        <v>0</v>
      </c>
      <c r="G322" s="25"/>
    </row>
    <row r="323" spans="1:7" x14ac:dyDescent="0.3">
      <c r="A323" s="2">
        <f t="shared" si="4"/>
        <v>316</v>
      </c>
      <c r="B323" s="2" t="s">
        <v>634</v>
      </c>
      <c r="C323" s="32" t="s">
        <v>1410</v>
      </c>
      <c r="D323" s="22">
        <v>0</v>
      </c>
      <c r="E323" s="22">
        <v>0</v>
      </c>
      <c r="F323" s="22">
        <f>(tbl_materiales2[[#This Row],[CANTIDAD REQUERIDA]]-tbl_materiales2[[#This Row],[CANTIDAD ABASTECIDA]])</f>
        <v>0</v>
      </c>
      <c r="G323" s="25"/>
    </row>
    <row r="324" spans="1:7" x14ac:dyDescent="0.3">
      <c r="A324" s="2">
        <f t="shared" si="4"/>
        <v>317</v>
      </c>
      <c r="B324" s="2" t="s">
        <v>635</v>
      </c>
      <c r="C324" s="32" t="s">
        <v>1062</v>
      </c>
      <c r="D324" s="22">
        <v>0</v>
      </c>
      <c r="E324" s="22">
        <v>0</v>
      </c>
      <c r="F324" s="22">
        <f>(tbl_materiales2[[#This Row],[CANTIDAD REQUERIDA]]-tbl_materiales2[[#This Row],[CANTIDAD ABASTECIDA]])</f>
        <v>0</v>
      </c>
      <c r="G324" s="25"/>
    </row>
    <row r="325" spans="1:7" x14ac:dyDescent="0.3">
      <c r="A325" s="2">
        <f t="shared" si="4"/>
        <v>318</v>
      </c>
      <c r="B325" s="2" t="s">
        <v>636</v>
      </c>
      <c r="C325" s="32" t="s">
        <v>1063</v>
      </c>
      <c r="D325" s="22">
        <v>0</v>
      </c>
      <c r="E325" s="22">
        <v>0</v>
      </c>
      <c r="F325" s="22">
        <f>(tbl_materiales2[[#This Row],[CANTIDAD REQUERIDA]]-tbl_materiales2[[#This Row],[CANTIDAD ABASTECIDA]])</f>
        <v>0</v>
      </c>
      <c r="G325" s="25"/>
    </row>
    <row r="326" spans="1:7" x14ac:dyDescent="0.3">
      <c r="A326" s="2">
        <f t="shared" si="4"/>
        <v>319</v>
      </c>
      <c r="B326" s="2" t="s">
        <v>637</v>
      </c>
      <c r="C326" s="32" t="s">
        <v>1064</v>
      </c>
      <c r="D326" s="22">
        <v>0</v>
      </c>
      <c r="E326" s="22">
        <v>0</v>
      </c>
      <c r="F326" s="22">
        <f>(tbl_materiales2[[#This Row],[CANTIDAD REQUERIDA]]-tbl_materiales2[[#This Row],[CANTIDAD ABASTECIDA]])</f>
        <v>0</v>
      </c>
      <c r="G326" s="25"/>
    </row>
    <row r="327" spans="1:7" x14ac:dyDescent="0.3">
      <c r="A327" s="2">
        <f t="shared" si="4"/>
        <v>320</v>
      </c>
      <c r="B327" s="2" t="s">
        <v>638</v>
      </c>
      <c r="C327" s="32" t="s">
        <v>1065</v>
      </c>
      <c r="D327" s="22">
        <v>0</v>
      </c>
      <c r="E327" s="22">
        <v>0</v>
      </c>
      <c r="F327" s="22">
        <f>(tbl_materiales2[[#This Row],[CANTIDAD REQUERIDA]]-tbl_materiales2[[#This Row],[CANTIDAD ABASTECIDA]])</f>
        <v>0</v>
      </c>
      <c r="G327" s="25"/>
    </row>
    <row r="328" spans="1:7" x14ac:dyDescent="0.3">
      <c r="A328" s="2">
        <f t="shared" ref="A328:A370" si="5">ROW(A328)-7</f>
        <v>321</v>
      </c>
      <c r="B328" s="2" t="s">
        <v>639</v>
      </c>
      <c r="C328" s="32" t="s">
        <v>1066</v>
      </c>
      <c r="D328" s="22">
        <v>0</v>
      </c>
      <c r="E328" s="22">
        <v>0</v>
      </c>
      <c r="F328" s="22">
        <f>(tbl_materiales2[[#This Row],[CANTIDAD REQUERIDA]]-tbl_materiales2[[#This Row],[CANTIDAD ABASTECIDA]])</f>
        <v>0</v>
      </c>
      <c r="G328" s="25"/>
    </row>
    <row r="329" spans="1:7" x14ac:dyDescent="0.3">
      <c r="A329" s="2">
        <f t="shared" si="5"/>
        <v>322</v>
      </c>
      <c r="B329" s="2" t="s">
        <v>640</v>
      </c>
      <c r="C329" s="32" t="s">
        <v>1067</v>
      </c>
      <c r="D329" s="22">
        <v>0</v>
      </c>
      <c r="E329" s="22">
        <v>0</v>
      </c>
      <c r="F329" s="22">
        <f>(tbl_materiales2[[#This Row],[CANTIDAD REQUERIDA]]-tbl_materiales2[[#This Row],[CANTIDAD ABASTECIDA]])</f>
        <v>0</v>
      </c>
      <c r="G329" s="25"/>
    </row>
    <row r="330" spans="1:7" x14ac:dyDescent="0.3">
      <c r="A330" s="2">
        <f t="shared" si="5"/>
        <v>323</v>
      </c>
      <c r="B330" s="2" t="s">
        <v>641</v>
      </c>
      <c r="C330" s="32" t="s">
        <v>1068</v>
      </c>
      <c r="D330" s="22">
        <v>0</v>
      </c>
      <c r="E330" s="22">
        <v>0</v>
      </c>
      <c r="F330" s="22">
        <f>(tbl_materiales2[[#This Row],[CANTIDAD REQUERIDA]]-tbl_materiales2[[#This Row],[CANTIDAD ABASTECIDA]])</f>
        <v>0</v>
      </c>
      <c r="G330" s="25"/>
    </row>
    <row r="331" spans="1:7" x14ac:dyDescent="0.3">
      <c r="A331" s="2">
        <f t="shared" si="5"/>
        <v>324</v>
      </c>
      <c r="B331" s="2" t="s">
        <v>642</v>
      </c>
      <c r="C331" s="32" t="s">
        <v>1070</v>
      </c>
      <c r="D331" s="22">
        <v>0</v>
      </c>
      <c r="E331" s="22">
        <v>0</v>
      </c>
      <c r="F331" s="22">
        <f>(tbl_materiales2[[#This Row],[CANTIDAD REQUERIDA]]-tbl_materiales2[[#This Row],[CANTIDAD ABASTECIDA]])</f>
        <v>0</v>
      </c>
      <c r="G331" s="25"/>
    </row>
    <row r="332" spans="1:7" x14ac:dyDescent="0.3">
      <c r="A332" s="2">
        <f t="shared" si="5"/>
        <v>325</v>
      </c>
      <c r="B332" s="2" t="s">
        <v>643</v>
      </c>
      <c r="C332" s="32" t="s">
        <v>1069</v>
      </c>
      <c r="D332" s="22">
        <v>0</v>
      </c>
      <c r="E332" s="22">
        <v>0</v>
      </c>
      <c r="F332" s="22">
        <f>(tbl_materiales2[[#This Row],[CANTIDAD REQUERIDA]]-tbl_materiales2[[#This Row],[CANTIDAD ABASTECIDA]])</f>
        <v>0</v>
      </c>
      <c r="G332" s="25"/>
    </row>
    <row r="333" spans="1:7" x14ac:dyDescent="0.3">
      <c r="A333" s="2">
        <f t="shared" si="5"/>
        <v>326</v>
      </c>
      <c r="B333" s="2" t="s">
        <v>644</v>
      </c>
      <c r="C333" s="32" t="s">
        <v>1071</v>
      </c>
      <c r="D333" s="22">
        <v>0</v>
      </c>
      <c r="E333" s="22">
        <v>0</v>
      </c>
      <c r="F333" s="22">
        <f>(tbl_materiales2[[#This Row],[CANTIDAD REQUERIDA]]-tbl_materiales2[[#This Row],[CANTIDAD ABASTECIDA]])</f>
        <v>0</v>
      </c>
      <c r="G333" s="25"/>
    </row>
    <row r="334" spans="1:7" x14ac:dyDescent="0.3">
      <c r="A334" s="2">
        <f t="shared" si="5"/>
        <v>327</v>
      </c>
      <c r="B334" s="2" t="s">
        <v>645</v>
      </c>
      <c r="C334" s="32" t="s">
        <v>1072</v>
      </c>
      <c r="D334" s="22">
        <v>0</v>
      </c>
      <c r="E334" s="22">
        <v>0</v>
      </c>
      <c r="F334" s="22">
        <f>(tbl_materiales2[[#This Row],[CANTIDAD REQUERIDA]]-tbl_materiales2[[#This Row],[CANTIDAD ABASTECIDA]])</f>
        <v>0</v>
      </c>
      <c r="G334" s="25"/>
    </row>
    <row r="335" spans="1:7" x14ac:dyDescent="0.3">
      <c r="A335" s="2">
        <f t="shared" si="5"/>
        <v>328</v>
      </c>
      <c r="B335" s="2" t="s">
        <v>646</v>
      </c>
      <c r="C335" s="32" t="s">
        <v>980</v>
      </c>
      <c r="D335" s="22">
        <v>0</v>
      </c>
      <c r="E335" s="22">
        <v>0</v>
      </c>
      <c r="F335" s="22">
        <f>(tbl_materiales2[[#This Row],[CANTIDAD REQUERIDA]]-tbl_materiales2[[#This Row],[CANTIDAD ABASTECIDA]])</f>
        <v>0</v>
      </c>
      <c r="G335" s="25"/>
    </row>
    <row r="336" spans="1:7" x14ac:dyDescent="0.3">
      <c r="A336" s="172">
        <f t="shared" si="5"/>
        <v>329</v>
      </c>
      <c r="B336" s="2" t="s">
        <v>1407</v>
      </c>
      <c r="C336" s="160" t="s">
        <v>1406</v>
      </c>
      <c r="D336" s="22">
        <v>0</v>
      </c>
      <c r="E336" s="22">
        <v>0</v>
      </c>
      <c r="F336" s="22">
        <f>(tbl_materiales2[[#This Row],[CANTIDAD REQUERIDA]]-tbl_materiales2[[#This Row],[CANTIDAD ABASTECIDA]])</f>
        <v>0</v>
      </c>
      <c r="G336" s="25"/>
    </row>
    <row r="337" spans="1:7" x14ac:dyDescent="0.3">
      <c r="A337" s="55">
        <f t="shared" si="5"/>
        <v>330</v>
      </c>
      <c r="B337" s="2" t="s">
        <v>647</v>
      </c>
      <c r="C337" s="163" t="s">
        <v>86</v>
      </c>
      <c r="D337" s="22">
        <v>0</v>
      </c>
      <c r="E337" s="22">
        <v>0</v>
      </c>
      <c r="F337" s="22">
        <f>(tbl_materiales2[[#This Row],[CANTIDAD REQUERIDA]]-tbl_materiales2[[#This Row],[CANTIDAD ABASTECIDA]])</f>
        <v>0</v>
      </c>
      <c r="G337" s="25"/>
    </row>
    <row r="338" spans="1:7" x14ac:dyDescent="0.3">
      <c r="A338" s="55">
        <f t="shared" si="5"/>
        <v>331</v>
      </c>
      <c r="B338" s="2" t="s">
        <v>648</v>
      </c>
      <c r="C338" s="163" t="s">
        <v>108</v>
      </c>
      <c r="D338" s="22">
        <v>0</v>
      </c>
      <c r="E338" s="22">
        <v>0</v>
      </c>
      <c r="F338" s="22">
        <f>(tbl_materiales2[[#This Row],[CANTIDAD REQUERIDA]]-tbl_materiales2[[#This Row],[CANTIDAD ABASTECIDA]])</f>
        <v>0</v>
      </c>
      <c r="G338" s="25"/>
    </row>
    <row r="339" spans="1:7" x14ac:dyDescent="0.3">
      <c r="A339" s="55">
        <f t="shared" si="5"/>
        <v>332</v>
      </c>
      <c r="B339" s="2" t="s">
        <v>649</v>
      </c>
      <c r="C339" s="163" t="s">
        <v>110</v>
      </c>
      <c r="D339" s="22">
        <v>0</v>
      </c>
      <c r="E339" s="22">
        <v>0</v>
      </c>
      <c r="F339" s="22">
        <f>(tbl_materiales2[[#This Row],[CANTIDAD REQUERIDA]]-tbl_materiales2[[#This Row],[CANTIDAD ABASTECIDA]])</f>
        <v>0</v>
      </c>
      <c r="G339" s="25"/>
    </row>
    <row r="340" spans="1:7" x14ac:dyDescent="0.3">
      <c r="A340" s="55">
        <f t="shared" si="5"/>
        <v>333</v>
      </c>
      <c r="B340" s="2" t="s">
        <v>650</v>
      </c>
      <c r="C340" s="163" t="s">
        <v>972</v>
      </c>
      <c r="D340" s="22">
        <v>0</v>
      </c>
      <c r="E340" s="22">
        <v>0</v>
      </c>
      <c r="F340" s="22">
        <f>(tbl_materiales2[[#This Row],[CANTIDAD REQUERIDA]]-tbl_materiales2[[#This Row],[CANTIDAD ABASTECIDA]])</f>
        <v>0</v>
      </c>
      <c r="G340" s="25"/>
    </row>
    <row r="341" spans="1:7" x14ac:dyDescent="0.3">
      <c r="A341" s="55">
        <f t="shared" si="5"/>
        <v>334</v>
      </c>
      <c r="B341" s="2" t="s">
        <v>651</v>
      </c>
      <c r="C341" s="163" t="s">
        <v>107</v>
      </c>
      <c r="D341" s="22">
        <v>0</v>
      </c>
      <c r="E341" s="22">
        <v>0</v>
      </c>
      <c r="F341" s="22">
        <f>(tbl_materiales2[[#This Row],[CANTIDAD REQUERIDA]]-tbl_materiales2[[#This Row],[CANTIDAD ABASTECIDA]])</f>
        <v>0</v>
      </c>
      <c r="G341" s="25"/>
    </row>
    <row r="342" spans="1:7" x14ac:dyDescent="0.3">
      <c r="A342" s="55">
        <f t="shared" si="5"/>
        <v>335</v>
      </c>
      <c r="B342" s="2" t="s">
        <v>652</v>
      </c>
      <c r="C342" s="163" t="s">
        <v>96</v>
      </c>
      <c r="D342" s="22">
        <v>0</v>
      </c>
      <c r="E342" s="22">
        <v>0</v>
      </c>
      <c r="F342" s="22">
        <f>(tbl_materiales2[[#This Row],[CANTIDAD REQUERIDA]]-tbl_materiales2[[#This Row],[CANTIDAD ABASTECIDA]])</f>
        <v>0</v>
      </c>
      <c r="G342" s="25"/>
    </row>
    <row r="343" spans="1:7" x14ac:dyDescent="0.3">
      <c r="A343" s="55">
        <f t="shared" si="5"/>
        <v>336</v>
      </c>
      <c r="B343" s="2" t="s">
        <v>653</v>
      </c>
      <c r="C343" s="163" t="s">
        <v>1116</v>
      </c>
      <c r="D343" s="22">
        <v>0</v>
      </c>
      <c r="E343" s="22">
        <v>0</v>
      </c>
      <c r="F343" s="22">
        <f>(tbl_materiales2[[#This Row],[CANTIDAD REQUERIDA]]-tbl_materiales2[[#This Row],[CANTIDAD ABASTECIDA]])</f>
        <v>0</v>
      </c>
      <c r="G343" s="25"/>
    </row>
    <row r="344" spans="1:7" x14ac:dyDescent="0.3">
      <c r="A344" s="55">
        <f t="shared" si="5"/>
        <v>337</v>
      </c>
      <c r="B344" s="2" t="s">
        <v>654</v>
      </c>
      <c r="C344" s="163" t="s">
        <v>100</v>
      </c>
      <c r="D344" s="22">
        <v>0</v>
      </c>
      <c r="E344" s="22">
        <v>0</v>
      </c>
      <c r="F344" s="22">
        <f>(tbl_materiales2[[#This Row],[CANTIDAD REQUERIDA]]-tbl_materiales2[[#This Row],[CANTIDAD ABASTECIDA]])</f>
        <v>0</v>
      </c>
      <c r="G344" s="25"/>
    </row>
    <row r="345" spans="1:7" x14ac:dyDescent="0.3">
      <c r="A345" s="55">
        <f t="shared" si="5"/>
        <v>338</v>
      </c>
      <c r="B345" s="55" t="s">
        <v>655</v>
      </c>
      <c r="C345" s="163" t="s">
        <v>128</v>
      </c>
      <c r="D345" s="22">
        <v>0</v>
      </c>
      <c r="E345" s="22">
        <v>0</v>
      </c>
      <c r="F345" s="22">
        <f>(tbl_materiales2[[#This Row],[CANTIDAD REQUERIDA]]-tbl_materiales2[[#This Row],[CANTIDAD ABASTECIDA]])</f>
        <v>0</v>
      </c>
      <c r="G345" s="25"/>
    </row>
    <row r="346" spans="1:7" x14ac:dyDescent="0.3">
      <c r="A346" s="55">
        <f t="shared" si="5"/>
        <v>339</v>
      </c>
      <c r="B346" s="55" t="s">
        <v>656</v>
      </c>
      <c r="C346" s="163" t="s">
        <v>1073</v>
      </c>
      <c r="D346" s="22">
        <v>0</v>
      </c>
      <c r="E346" s="22">
        <v>0</v>
      </c>
      <c r="F346" s="22">
        <f>(tbl_materiales2[[#This Row],[CANTIDAD REQUERIDA]]-tbl_materiales2[[#This Row],[CANTIDAD ABASTECIDA]])</f>
        <v>0</v>
      </c>
      <c r="G346" s="25"/>
    </row>
    <row r="347" spans="1:7" x14ac:dyDescent="0.3">
      <c r="A347" s="55">
        <f t="shared" si="5"/>
        <v>340</v>
      </c>
      <c r="B347" s="55" t="s">
        <v>657</v>
      </c>
      <c r="C347" s="163" t="s">
        <v>981</v>
      </c>
      <c r="D347" s="22">
        <v>0</v>
      </c>
      <c r="E347" s="22">
        <v>0</v>
      </c>
      <c r="F347" s="22">
        <f>(tbl_materiales2[[#This Row],[CANTIDAD REQUERIDA]]-tbl_materiales2[[#This Row],[CANTIDAD ABASTECIDA]])</f>
        <v>0</v>
      </c>
      <c r="G347" s="25"/>
    </row>
    <row r="348" spans="1:7" x14ac:dyDescent="0.3">
      <c r="A348" s="55">
        <f t="shared" si="5"/>
        <v>341</v>
      </c>
      <c r="B348" s="55" t="s">
        <v>658</v>
      </c>
      <c r="C348" s="163" t="s">
        <v>1079</v>
      </c>
      <c r="D348" s="22">
        <v>0</v>
      </c>
      <c r="E348" s="22">
        <v>0</v>
      </c>
      <c r="F348" s="22">
        <f>(tbl_materiales2[[#This Row],[CANTIDAD REQUERIDA]]-tbl_materiales2[[#This Row],[CANTIDAD ABASTECIDA]])</f>
        <v>0</v>
      </c>
      <c r="G348" s="25"/>
    </row>
    <row r="349" spans="1:7" x14ac:dyDescent="0.3">
      <c r="A349" s="55">
        <f t="shared" si="5"/>
        <v>342</v>
      </c>
      <c r="B349" s="55" t="s">
        <v>659</v>
      </c>
      <c r="C349" s="163" t="s">
        <v>129</v>
      </c>
      <c r="D349" s="22">
        <v>0</v>
      </c>
      <c r="E349" s="22">
        <v>0</v>
      </c>
      <c r="F349" s="22">
        <f>(tbl_materiales2[[#This Row],[CANTIDAD REQUERIDA]]-tbl_materiales2[[#This Row],[CANTIDAD ABASTECIDA]])</f>
        <v>0</v>
      </c>
      <c r="G349" s="25"/>
    </row>
    <row r="350" spans="1:7" x14ac:dyDescent="0.3">
      <c r="A350" s="55">
        <f t="shared" si="5"/>
        <v>343</v>
      </c>
      <c r="B350" s="55" t="s">
        <v>660</v>
      </c>
      <c r="C350" s="163" t="s">
        <v>1080</v>
      </c>
      <c r="D350" s="22">
        <v>0</v>
      </c>
      <c r="E350" s="22">
        <v>0</v>
      </c>
      <c r="F350" s="22">
        <f>(tbl_materiales2[[#This Row],[CANTIDAD REQUERIDA]]-tbl_materiales2[[#This Row],[CANTIDAD ABASTECIDA]])</f>
        <v>0</v>
      </c>
      <c r="G350" s="25"/>
    </row>
    <row r="351" spans="1:7" x14ac:dyDescent="0.3">
      <c r="A351" s="55">
        <f t="shared" si="5"/>
        <v>344</v>
      </c>
      <c r="B351" s="55" t="s">
        <v>661</v>
      </c>
      <c r="C351" s="163" t="s">
        <v>82</v>
      </c>
      <c r="D351" s="22">
        <v>0</v>
      </c>
      <c r="E351" s="22">
        <v>0</v>
      </c>
      <c r="F351" s="22">
        <f>(tbl_materiales2[[#This Row],[CANTIDAD REQUERIDA]]-tbl_materiales2[[#This Row],[CANTIDAD ABASTECIDA]])</f>
        <v>0</v>
      </c>
      <c r="G351" s="25"/>
    </row>
    <row r="352" spans="1:7" x14ac:dyDescent="0.3">
      <c r="A352" s="55">
        <f t="shared" si="5"/>
        <v>345</v>
      </c>
      <c r="B352" s="55" t="s">
        <v>662</v>
      </c>
      <c r="C352" s="163" t="s">
        <v>78</v>
      </c>
      <c r="D352" s="22">
        <v>0</v>
      </c>
      <c r="E352" s="22">
        <v>0</v>
      </c>
      <c r="F352" s="22">
        <f>(tbl_materiales2[[#This Row],[CANTIDAD REQUERIDA]]-tbl_materiales2[[#This Row],[CANTIDAD ABASTECIDA]])</f>
        <v>0</v>
      </c>
      <c r="G352" s="25"/>
    </row>
    <row r="353" spans="1:7" x14ac:dyDescent="0.3">
      <c r="A353" s="55">
        <f t="shared" si="5"/>
        <v>346</v>
      </c>
      <c r="B353" s="55" t="s">
        <v>663</v>
      </c>
      <c r="C353" s="163" t="s">
        <v>90</v>
      </c>
      <c r="D353" s="22">
        <v>0</v>
      </c>
      <c r="E353" s="22">
        <v>0</v>
      </c>
      <c r="F353" s="22">
        <f>(tbl_materiales2[[#This Row],[CANTIDAD REQUERIDA]]-tbl_materiales2[[#This Row],[CANTIDAD ABASTECIDA]])</f>
        <v>0</v>
      </c>
      <c r="G353" s="25"/>
    </row>
    <row r="354" spans="1:7" x14ac:dyDescent="0.3">
      <c r="A354" s="55">
        <f t="shared" si="5"/>
        <v>347</v>
      </c>
      <c r="B354" s="55" t="s">
        <v>664</v>
      </c>
      <c r="C354" s="163" t="s">
        <v>83</v>
      </c>
      <c r="D354" s="22">
        <v>0</v>
      </c>
      <c r="E354" s="22">
        <v>0</v>
      </c>
      <c r="F354" s="22">
        <f>(tbl_materiales2[[#This Row],[CANTIDAD REQUERIDA]]-tbl_materiales2[[#This Row],[CANTIDAD ABASTECIDA]])</f>
        <v>0</v>
      </c>
      <c r="G354" s="25"/>
    </row>
    <row r="355" spans="1:7" x14ac:dyDescent="0.3">
      <c r="A355" s="55">
        <f t="shared" si="5"/>
        <v>348</v>
      </c>
      <c r="B355" s="55" t="s">
        <v>665</v>
      </c>
      <c r="C355" s="163" t="s">
        <v>87</v>
      </c>
      <c r="D355" s="22">
        <v>0</v>
      </c>
      <c r="E355" s="22">
        <v>0</v>
      </c>
      <c r="F355" s="22">
        <f>(tbl_materiales2[[#This Row],[CANTIDAD REQUERIDA]]-tbl_materiales2[[#This Row],[CANTIDAD ABASTECIDA]])</f>
        <v>0</v>
      </c>
      <c r="G355" s="25"/>
    </row>
    <row r="356" spans="1:7" x14ac:dyDescent="0.3">
      <c r="A356" s="55">
        <f t="shared" si="5"/>
        <v>349</v>
      </c>
      <c r="B356" s="55" t="s">
        <v>666</v>
      </c>
      <c r="C356" s="155" t="s">
        <v>167</v>
      </c>
      <c r="D356" s="22">
        <v>0</v>
      </c>
      <c r="E356" s="22">
        <v>0</v>
      </c>
      <c r="F356" s="22">
        <f>(tbl_materiales2[[#This Row],[CANTIDAD REQUERIDA]]-tbl_materiales2[[#This Row],[CANTIDAD ABASTECIDA]])</f>
        <v>0</v>
      </c>
      <c r="G356" s="25"/>
    </row>
    <row r="357" spans="1:7" x14ac:dyDescent="0.3">
      <c r="A357" s="55">
        <f t="shared" si="5"/>
        <v>350</v>
      </c>
      <c r="B357" s="55" t="s">
        <v>667</v>
      </c>
      <c r="C357" s="163" t="s">
        <v>1078</v>
      </c>
      <c r="D357" s="22">
        <v>0</v>
      </c>
      <c r="E357" s="22">
        <v>0</v>
      </c>
      <c r="F357" s="22">
        <f>(tbl_materiales2[[#This Row],[CANTIDAD REQUERIDA]]-tbl_materiales2[[#This Row],[CANTIDAD ABASTECIDA]])</f>
        <v>0</v>
      </c>
      <c r="G357" s="25"/>
    </row>
    <row r="358" spans="1:7" x14ac:dyDescent="0.3">
      <c r="A358" s="55">
        <f t="shared" si="5"/>
        <v>351</v>
      </c>
      <c r="B358" s="55" t="s">
        <v>668</v>
      </c>
      <c r="C358" s="163" t="s">
        <v>973</v>
      </c>
      <c r="D358" s="22">
        <v>0</v>
      </c>
      <c r="E358" s="22">
        <v>0</v>
      </c>
      <c r="F358" s="22">
        <f>(tbl_materiales2[[#This Row],[CANTIDAD REQUERIDA]]-tbl_materiales2[[#This Row],[CANTIDAD ABASTECIDA]])</f>
        <v>0</v>
      </c>
      <c r="G358" s="25"/>
    </row>
    <row r="359" spans="1:7" x14ac:dyDescent="0.3">
      <c r="A359" s="55">
        <f t="shared" si="5"/>
        <v>352</v>
      </c>
      <c r="B359" s="55" t="s">
        <v>669</v>
      </c>
      <c r="C359" s="163" t="s">
        <v>974</v>
      </c>
      <c r="D359" s="22">
        <v>0</v>
      </c>
      <c r="E359" s="22">
        <v>0</v>
      </c>
      <c r="F359" s="22">
        <f>(tbl_materiales2[[#This Row],[CANTIDAD REQUERIDA]]-tbl_materiales2[[#This Row],[CANTIDAD ABASTECIDA]])</f>
        <v>0</v>
      </c>
      <c r="G359" s="25"/>
    </row>
    <row r="360" spans="1:7" x14ac:dyDescent="0.3">
      <c r="A360" s="55">
        <f t="shared" si="5"/>
        <v>353</v>
      </c>
      <c r="B360" s="55" t="s">
        <v>670</v>
      </c>
      <c r="C360" s="163" t="s">
        <v>976</v>
      </c>
      <c r="D360" s="22">
        <v>0</v>
      </c>
      <c r="E360" s="22">
        <v>0</v>
      </c>
      <c r="F360" s="22">
        <f>(tbl_materiales2[[#This Row],[CANTIDAD REQUERIDA]]-tbl_materiales2[[#This Row],[CANTIDAD ABASTECIDA]])</f>
        <v>0</v>
      </c>
      <c r="G360" s="25"/>
    </row>
    <row r="361" spans="1:7" x14ac:dyDescent="0.3">
      <c r="A361" s="55">
        <f t="shared" si="5"/>
        <v>354</v>
      </c>
      <c r="B361" s="55" t="s">
        <v>671</v>
      </c>
      <c r="C361" s="163" t="s">
        <v>975</v>
      </c>
      <c r="D361" s="22">
        <v>0</v>
      </c>
      <c r="E361" s="22">
        <v>0</v>
      </c>
      <c r="F361" s="22">
        <f>(tbl_materiales2[[#This Row],[CANTIDAD REQUERIDA]]-tbl_materiales2[[#This Row],[CANTIDAD ABASTECIDA]])</f>
        <v>0</v>
      </c>
      <c r="G361" s="25"/>
    </row>
    <row r="362" spans="1:7" x14ac:dyDescent="0.3">
      <c r="A362" s="55">
        <f t="shared" si="5"/>
        <v>355</v>
      </c>
      <c r="B362" s="55" t="s">
        <v>672</v>
      </c>
      <c r="C362" s="163" t="s">
        <v>84</v>
      </c>
      <c r="D362" s="22">
        <v>0</v>
      </c>
      <c r="E362" s="22">
        <v>0</v>
      </c>
      <c r="F362" s="22">
        <f>(tbl_materiales2[[#This Row],[CANTIDAD REQUERIDA]]-tbl_materiales2[[#This Row],[CANTIDAD ABASTECIDA]])</f>
        <v>0</v>
      </c>
      <c r="G362" s="25"/>
    </row>
    <row r="363" spans="1:7" x14ac:dyDescent="0.3">
      <c r="A363" s="55">
        <f t="shared" si="5"/>
        <v>356</v>
      </c>
      <c r="B363" s="55" t="s">
        <v>673</v>
      </c>
      <c r="C363" s="163" t="s">
        <v>16</v>
      </c>
      <c r="D363" s="22">
        <v>0</v>
      </c>
      <c r="E363" s="22">
        <v>0</v>
      </c>
      <c r="F363" s="22">
        <f>(tbl_materiales2[[#This Row],[CANTIDAD REQUERIDA]]-tbl_materiales2[[#This Row],[CANTIDAD ABASTECIDA]])</f>
        <v>0</v>
      </c>
      <c r="G363" s="25"/>
    </row>
    <row r="364" spans="1:7" x14ac:dyDescent="0.3">
      <c r="A364" s="55">
        <f t="shared" si="5"/>
        <v>357</v>
      </c>
      <c r="B364" s="55" t="s">
        <v>674</v>
      </c>
      <c r="C364" s="163" t="s">
        <v>134</v>
      </c>
      <c r="D364" s="22">
        <v>0</v>
      </c>
      <c r="E364" s="22">
        <v>0</v>
      </c>
      <c r="F364" s="22">
        <f>(tbl_materiales2[[#This Row],[CANTIDAD REQUERIDA]]-tbl_materiales2[[#This Row],[CANTIDAD ABASTECIDA]])</f>
        <v>0</v>
      </c>
      <c r="G364" s="25"/>
    </row>
    <row r="365" spans="1:7" x14ac:dyDescent="0.3">
      <c r="A365" s="55">
        <f t="shared" si="5"/>
        <v>358</v>
      </c>
      <c r="B365" s="55" t="s">
        <v>675</v>
      </c>
      <c r="C365" s="155" t="s">
        <v>1074</v>
      </c>
      <c r="D365" s="22">
        <v>0</v>
      </c>
      <c r="E365" s="22">
        <v>0</v>
      </c>
      <c r="F365" s="22">
        <f>(tbl_materiales2[[#This Row],[CANTIDAD REQUERIDA]]-tbl_materiales2[[#This Row],[CANTIDAD ABASTECIDA]])</f>
        <v>0</v>
      </c>
      <c r="G365" s="25"/>
    </row>
    <row r="366" spans="1:7" x14ac:dyDescent="0.3">
      <c r="A366" s="55">
        <f t="shared" si="5"/>
        <v>359</v>
      </c>
      <c r="B366" s="55" t="s">
        <v>676</v>
      </c>
      <c r="C366" s="155" t="s">
        <v>1075</v>
      </c>
      <c r="D366" s="22">
        <v>0</v>
      </c>
      <c r="E366" s="22">
        <v>0</v>
      </c>
      <c r="F366" s="22">
        <f>(tbl_materiales2[[#This Row],[CANTIDAD REQUERIDA]]-tbl_materiales2[[#This Row],[CANTIDAD ABASTECIDA]])</f>
        <v>0</v>
      </c>
      <c r="G366" s="25"/>
    </row>
    <row r="367" spans="1:7" x14ac:dyDescent="0.3">
      <c r="A367" s="55">
        <f t="shared" si="5"/>
        <v>360</v>
      </c>
      <c r="B367" s="55" t="s">
        <v>677</v>
      </c>
      <c r="C367" s="163" t="s">
        <v>62</v>
      </c>
      <c r="D367" s="22">
        <v>0</v>
      </c>
      <c r="E367" s="22">
        <v>0</v>
      </c>
      <c r="F367" s="22">
        <f>(tbl_materiales2[[#This Row],[CANTIDAD REQUERIDA]]-tbl_materiales2[[#This Row],[CANTIDAD ABASTECIDA]])</f>
        <v>0</v>
      </c>
      <c r="G367" s="25"/>
    </row>
    <row r="368" spans="1:7" x14ac:dyDescent="0.3">
      <c r="A368" s="55">
        <f t="shared" si="5"/>
        <v>361</v>
      </c>
      <c r="B368" s="55" t="s">
        <v>678</v>
      </c>
      <c r="C368" s="163" t="s">
        <v>1076</v>
      </c>
      <c r="D368" s="22">
        <v>0</v>
      </c>
      <c r="E368" s="22">
        <v>0</v>
      </c>
      <c r="F368" s="22">
        <f>(tbl_materiales2[[#This Row],[CANTIDAD REQUERIDA]]-tbl_materiales2[[#This Row],[CANTIDAD ABASTECIDA]])</f>
        <v>0</v>
      </c>
      <c r="G368" s="25"/>
    </row>
    <row r="369" spans="1:7" x14ac:dyDescent="0.3">
      <c r="A369" s="55">
        <f t="shared" si="5"/>
        <v>362</v>
      </c>
      <c r="B369" s="55" t="s">
        <v>679</v>
      </c>
      <c r="C369" s="156" t="s">
        <v>1077</v>
      </c>
      <c r="D369" s="22">
        <v>0</v>
      </c>
      <c r="E369" s="22">
        <v>0</v>
      </c>
      <c r="F369" s="22">
        <f>(tbl_materiales2[[#This Row],[CANTIDAD REQUERIDA]]-tbl_materiales2[[#This Row],[CANTIDAD ABASTECIDA]])</f>
        <v>0</v>
      </c>
      <c r="G369" s="25"/>
    </row>
    <row r="370" spans="1:7" x14ac:dyDescent="0.3">
      <c r="A370" s="55">
        <f t="shared" si="5"/>
        <v>363</v>
      </c>
      <c r="B370" s="55" t="s">
        <v>1218</v>
      </c>
      <c r="C370" s="155" t="s">
        <v>775</v>
      </c>
      <c r="D370" s="22">
        <v>0</v>
      </c>
      <c r="E370" s="22">
        <v>0</v>
      </c>
      <c r="F370" s="22">
        <f>(tbl_materiales2[[#This Row],[CANTIDAD REQUERIDA]]-tbl_materiales2[[#This Row],[CANTIDAD ABASTECIDA]])</f>
        <v>0</v>
      </c>
      <c r="G370" s="25"/>
    </row>
  </sheetData>
  <mergeCells count="1">
    <mergeCell ref="A2:G2"/>
  </mergeCells>
  <phoneticPr fontId="6" type="noConversion"/>
  <conditionalFormatting sqref="C336:C1048576 C1 C6:C7">
    <cfRule type="duplicateValues" dxfId="88" priority="7"/>
  </conditionalFormatting>
  <conditionalFormatting sqref="C6:C1048576 C1">
    <cfRule type="duplicateValues" dxfId="87" priority="4"/>
  </conditionalFormatting>
  <conditionalFormatting sqref="C4">
    <cfRule type="duplicateValues" dxfId="86" priority="3"/>
  </conditionalFormatting>
  <conditionalFormatting sqref="C4">
    <cfRule type="duplicateValues" dxfId="85" priority="2"/>
  </conditionalFormatting>
  <conditionalFormatting sqref="C8:C370">
    <cfRule type="duplicateValues" dxfId="84" priority="103"/>
  </conditionalFormatting>
  <conditionalFormatting sqref="B1:B1048576">
    <cfRule type="duplicateValues" dxfId="83" priority="1"/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77B-840C-4282-829E-41316651CB87}">
  <sheetPr codeName="Hoja4">
    <tabColor theme="5"/>
    <pageSetUpPr fitToPage="1"/>
  </sheetPr>
  <dimension ref="A2:G52"/>
  <sheetViews>
    <sheetView topLeftCell="A25" zoomScaleNormal="100" workbookViewId="0">
      <selection activeCell="H49" sqref="H49"/>
    </sheetView>
  </sheetViews>
  <sheetFormatPr baseColWidth="10" defaultColWidth="11.44140625" defaultRowHeight="14.4" x14ac:dyDescent="0.3"/>
  <cols>
    <col min="1" max="1" width="5.5546875" style="9" customWidth="1"/>
    <col min="2" max="2" width="11.44140625" style="9"/>
    <col min="3" max="3" width="45.88671875" style="16" bestFit="1" customWidth="1"/>
    <col min="4" max="7" width="18.6640625" style="16" customWidth="1"/>
    <col min="8" max="8" width="18.88671875" style="9" bestFit="1" customWidth="1"/>
    <col min="9" max="16384" width="11.44140625" style="9"/>
  </cols>
  <sheetData>
    <row r="2" spans="1:7" ht="25.8" x14ac:dyDescent="0.3">
      <c r="A2" s="213" t="s">
        <v>206</v>
      </c>
      <c r="B2" s="213"/>
      <c r="C2" s="213"/>
      <c r="D2" s="213"/>
      <c r="E2" s="213"/>
    </row>
    <row r="3" spans="1:7" x14ac:dyDescent="0.3">
      <c r="B3" s="10"/>
      <c r="C3" s="15"/>
      <c r="D3" s="19"/>
      <c r="E3" s="19"/>
    </row>
    <row r="4" spans="1:7" s="12" customFormat="1" ht="39.9" customHeight="1" x14ac:dyDescent="0.3">
      <c r="A4" s="6" t="s">
        <v>4</v>
      </c>
      <c r="B4" s="21" t="s">
        <v>0</v>
      </c>
      <c r="C4" s="20" t="s">
        <v>759</v>
      </c>
      <c r="D4" s="20" t="s">
        <v>144</v>
      </c>
      <c r="E4" s="5" t="s">
        <v>202</v>
      </c>
      <c r="F4" s="5" t="s">
        <v>145</v>
      </c>
      <c r="G4" s="5" t="s">
        <v>197</v>
      </c>
    </row>
    <row r="5" spans="1:7" x14ac:dyDescent="0.3">
      <c r="A5" s="13">
        <f t="shared" ref="A5:A52" si="0">ROW(A5)-4</f>
        <v>1</v>
      </c>
      <c r="B5" s="13" t="s">
        <v>207</v>
      </c>
      <c r="C5" s="36" t="s">
        <v>833</v>
      </c>
      <c r="D5" s="23">
        <v>0</v>
      </c>
      <c r="E5" s="23">
        <v>0</v>
      </c>
      <c r="F5" s="23">
        <f>Tabla25[[#This Row],[CANTIDAD REQUERIDA]]-Tabla25[[#This Row],[CANTIDAD ABASTECIDA]]</f>
        <v>0</v>
      </c>
      <c r="G5" s="13"/>
    </row>
    <row r="6" spans="1:7" x14ac:dyDescent="0.3">
      <c r="A6" s="13">
        <f t="shared" si="0"/>
        <v>2</v>
      </c>
      <c r="B6" s="13" t="s">
        <v>208</v>
      </c>
      <c r="C6" s="36" t="s">
        <v>834</v>
      </c>
      <c r="D6" s="23">
        <v>0</v>
      </c>
      <c r="E6" s="23">
        <v>0</v>
      </c>
      <c r="F6" s="23">
        <f>Tabla25[[#This Row],[CANTIDAD REQUERIDA]]-Tabla25[[#This Row],[CANTIDAD ABASTECIDA]]</f>
        <v>0</v>
      </c>
      <c r="G6" s="13"/>
    </row>
    <row r="7" spans="1:7" x14ac:dyDescent="0.3">
      <c r="A7" s="13">
        <f t="shared" si="0"/>
        <v>3</v>
      </c>
      <c r="B7" s="13" t="s">
        <v>209</v>
      </c>
      <c r="C7" s="36" t="s">
        <v>835</v>
      </c>
      <c r="D7" s="23">
        <v>0</v>
      </c>
      <c r="E7" s="23">
        <v>0</v>
      </c>
      <c r="F7" s="23">
        <f>Tabla25[[#This Row],[CANTIDAD REQUERIDA]]-Tabla25[[#This Row],[CANTIDAD ABASTECIDA]]</f>
        <v>0</v>
      </c>
      <c r="G7" s="13"/>
    </row>
    <row r="8" spans="1:7" x14ac:dyDescent="0.3">
      <c r="A8" s="13">
        <f t="shared" si="0"/>
        <v>4</v>
      </c>
      <c r="B8" s="13" t="s">
        <v>210</v>
      </c>
      <c r="C8" s="36" t="s">
        <v>264</v>
      </c>
      <c r="D8" s="23">
        <v>0</v>
      </c>
      <c r="E8" s="23">
        <v>0</v>
      </c>
      <c r="F8" s="23">
        <f>Tabla25[[#This Row],[CANTIDAD REQUERIDA]]-Tabla25[[#This Row],[CANTIDAD ABASTECIDA]]</f>
        <v>0</v>
      </c>
      <c r="G8" s="13"/>
    </row>
    <row r="9" spans="1:7" x14ac:dyDescent="0.3">
      <c r="A9" s="13">
        <f t="shared" si="0"/>
        <v>5</v>
      </c>
      <c r="B9" s="13" t="s">
        <v>211</v>
      </c>
      <c r="C9" s="36" t="s">
        <v>836</v>
      </c>
      <c r="D9" s="23">
        <v>0</v>
      </c>
      <c r="E9" s="23">
        <v>0</v>
      </c>
      <c r="F9" s="23">
        <f>Tabla25[[#This Row],[CANTIDAD REQUERIDA]]-Tabla25[[#This Row],[CANTIDAD ABASTECIDA]]</f>
        <v>0</v>
      </c>
      <c r="G9" s="13"/>
    </row>
    <row r="10" spans="1:7" x14ac:dyDescent="0.3">
      <c r="A10" s="13">
        <f t="shared" si="0"/>
        <v>6</v>
      </c>
      <c r="B10" s="13" t="s">
        <v>212</v>
      </c>
      <c r="C10" s="36" t="s">
        <v>837</v>
      </c>
      <c r="D10" s="23">
        <v>0</v>
      </c>
      <c r="E10" s="23">
        <v>0</v>
      </c>
      <c r="F10" s="23">
        <f>Tabla25[[#This Row],[CANTIDAD REQUERIDA]]-Tabla25[[#This Row],[CANTIDAD ABASTECIDA]]</f>
        <v>0</v>
      </c>
      <c r="G10" s="13"/>
    </row>
    <row r="11" spans="1:7" x14ac:dyDescent="0.3">
      <c r="A11" s="17">
        <f t="shared" si="0"/>
        <v>7</v>
      </c>
      <c r="B11" s="13" t="s">
        <v>1370</v>
      </c>
      <c r="C11" s="36" t="s">
        <v>1369</v>
      </c>
      <c r="D11" s="23">
        <v>0</v>
      </c>
      <c r="E11" s="23">
        <v>0</v>
      </c>
      <c r="F11" s="23">
        <f>Tabla25[[#This Row],[CANTIDAD REQUERIDA]]-Tabla25[[#This Row],[CANTIDAD ABASTECIDA]]</f>
        <v>0</v>
      </c>
      <c r="G11" s="13"/>
    </row>
    <row r="12" spans="1:7" x14ac:dyDescent="0.3">
      <c r="A12" s="13">
        <f t="shared" si="0"/>
        <v>8</v>
      </c>
      <c r="B12" s="13" t="s">
        <v>213</v>
      </c>
      <c r="C12" s="36" t="s">
        <v>261</v>
      </c>
      <c r="D12" s="23">
        <v>0</v>
      </c>
      <c r="E12" s="23">
        <v>0</v>
      </c>
      <c r="F12" s="23">
        <f>Tabla25[[#This Row],[CANTIDAD REQUERIDA]]-Tabla25[[#This Row],[CANTIDAD ABASTECIDA]]</f>
        <v>0</v>
      </c>
      <c r="G12" s="13"/>
    </row>
    <row r="13" spans="1:7" x14ac:dyDescent="0.3">
      <c r="A13" s="13">
        <f t="shared" si="0"/>
        <v>9</v>
      </c>
      <c r="B13" s="13" t="s">
        <v>214</v>
      </c>
      <c r="C13" s="36" t="s">
        <v>838</v>
      </c>
      <c r="D13" s="23">
        <v>0</v>
      </c>
      <c r="E13" s="23">
        <v>0</v>
      </c>
      <c r="F13" s="23">
        <f>Tabla25[[#This Row],[CANTIDAD REQUERIDA]]-Tabla25[[#This Row],[CANTIDAD ABASTECIDA]]</f>
        <v>0</v>
      </c>
      <c r="G13" s="13"/>
    </row>
    <row r="14" spans="1:7" x14ac:dyDescent="0.3">
      <c r="A14" s="13">
        <f t="shared" si="0"/>
        <v>10</v>
      </c>
      <c r="B14" s="13" t="s">
        <v>215</v>
      </c>
      <c r="C14" s="36" t="s">
        <v>839</v>
      </c>
      <c r="D14" s="23">
        <v>0</v>
      </c>
      <c r="E14" s="23">
        <v>0</v>
      </c>
      <c r="F14" s="23">
        <f>Tabla25[[#This Row],[CANTIDAD REQUERIDA]]-Tabla25[[#This Row],[CANTIDAD ABASTECIDA]]</f>
        <v>0</v>
      </c>
      <c r="G14" s="13"/>
    </row>
    <row r="15" spans="1:7" x14ac:dyDescent="0.3">
      <c r="A15" s="13">
        <f t="shared" si="0"/>
        <v>11</v>
      </c>
      <c r="B15" s="13" t="s">
        <v>216</v>
      </c>
      <c r="C15" s="36" t="s">
        <v>840</v>
      </c>
      <c r="D15" s="23">
        <v>0</v>
      </c>
      <c r="E15" s="23">
        <v>0</v>
      </c>
      <c r="F15" s="23">
        <f>Tabla25[[#This Row],[CANTIDAD REQUERIDA]]-Tabla25[[#This Row],[CANTIDAD ABASTECIDA]]</f>
        <v>0</v>
      </c>
      <c r="G15" s="13"/>
    </row>
    <row r="16" spans="1:7" x14ac:dyDescent="0.3">
      <c r="A16" s="13">
        <f t="shared" si="0"/>
        <v>12</v>
      </c>
      <c r="B16" s="13" t="s">
        <v>217</v>
      </c>
      <c r="C16" s="36" t="s">
        <v>1117</v>
      </c>
      <c r="D16" s="23">
        <v>0</v>
      </c>
      <c r="E16" s="23">
        <v>0</v>
      </c>
      <c r="F16" s="23">
        <f>Tabla25[[#This Row],[CANTIDAD REQUERIDA]]-Tabla25[[#This Row],[CANTIDAD ABASTECIDA]]</f>
        <v>0</v>
      </c>
      <c r="G16" s="13"/>
    </row>
    <row r="17" spans="1:7" x14ac:dyDescent="0.3">
      <c r="A17" s="13">
        <f t="shared" si="0"/>
        <v>13</v>
      </c>
      <c r="B17" s="13" t="s">
        <v>218</v>
      </c>
      <c r="C17" s="36" t="s">
        <v>841</v>
      </c>
      <c r="D17" s="23">
        <v>0</v>
      </c>
      <c r="E17" s="23">
        <v>0</v>
      </c>
      <c r="F17" s="23">
        <f>Tabla25[[#This Row],[CANTIDAD REQUERIDA]]-Tabla25[[#This Row],[CANTIDAD ABASTECIDA]]</f>
        <v>0</v>
      </c>
      <c r="G17" s="13"/>
    </row>
    <row r="18" spans="1:7" x14ac:dyDescent="0.3">
      <c r="A18" s="13">
        <f t="shared" si="0"/>
        <v>14</v>
      </c>
      <c r="B18" s="13" t="s">
        <v>219</v>
      </c>
      <c r="C18" s="36" t="s">
        <v>256</v>
      </c>
      <c r="D18" s="23">
        <v>0</v>
      </c>
      <c r="E18" s="23">
        <v>0</v>
      </c>
      <c r="F18" s="23">
        <f>Tabla25[[#This Row],[CANTIDAD REQUERIDA]]-Tabla25[[#This Row],[CANTIDAD ABASTECIDA]]</f>
        <v>0</v>
      </c>
      <c r="G18" s="13"/>
    </row>
    <row r="19" spans="1:7" x14ac:dyDescent="0.3">
      <c r="A19" s="13">
        <f t="shared" si="0"/>
        <v>15</v>
      </c>
      <c r="B19" s="13" t="s">
        <v>220</v>
      </c>
      <c r="C19" s="36" t="s">
        <v>262</v>
      </c>
      <c r="D19" s="23">
        <v>0</v>
      </c>
      <c r="E19" s="23">
        <v>0</v>
      </c>
      <c r="F19" s="23">
        <f>Tabla25[[#This Row],[CANTIDAD REQUERIDA]]-Tabla25[[#This Row],[CANTIDAD ABASTECIDA]]</f>
        <v>0</v>
      </c>
      <c r="G19" s="13"/>
    </row>
    <row r="20" spans="1:7" x14ac:dyDescent="0.3">
      <c r="A20" s="13">
        <f t="shared" si="0"/>
        <v>16</v>
      </c>
      <c r="B20" s="13" t="s">
        <v>221</v>
      </c>
      <c r="C20" s="36" t="s">
        <v>842</v>
      </c>
      <c r="D20" s="23">
        <v>0</v>
      </c>
      <c r="E20" s="23">
        <v>0</v>
      </c>
      <c r="F20" s="23">
        <f>Tabla25[[#This Row],[CANTIDAD REQUERIDA]]-Tabla25[[#This Row],[CANTIDAD ABASTECIDA]]</f>
        <v>0</v>
      </c>
      <c r="G20" s="13"/>
    </row>
    <row r="21" spans="1:7" x14ac:dyDescent="0.3">
      <c r="A21" s="13">
        <f t="shared" si="0"/>
        <v>17</v>
      </c>
      <c r="B21" s="13" t="s">
        <v>222</v>
      </c>
      <c r="C21" s="37" t="s">
        <v>1118</v>
      </c>
      <c r="D21" s="23">
        <v>0</v>
      </c>
      <c r="E21" s="23">
        <v>0</v>
      </c>
      <c r="F21" s="23">
        <f>Tabla25[[#This Row],[CANTIDAD REQUERIDA]]-Tabla25[[#This Row],[CANTIDAD ABASTECIDA]]</f>
        <v>0</v>
      </c>
      <c r="G21" s="13"/>
    </row>
    <row r="22" spans="1:7" x14ac:dyDescent="0.3">
      <c r="A22" s="14">
        <f t="shared" si="0"/>
        <v>18</v>
      </c>
      <c r="B22" s="13" t="s">
        <v>223</v>
      </c>
      <c r="C22" s="37" t="s">
        <v>1119</v>
      </c>
      <c r="D22" s="23">
        <v>0</v>
      </c>
      <c r="E22" s="23">
        <v>0</v>
      </c>
      <c r="F22" s="23">
        <f>Tabla25[[#This Row],[CANTIDAD REQUERIDA]]-Tabla25[[#This Row],[CANTIDAD ABASTECIDA]]</f>
        <v>0</v>
      </c>
      <c r="G22" s="13"/>
    </row>
    <row r="23" spans="1:7" x14ac:dyDescent="0.3">
      <c r="A23" s="13">
        <f t="shared" si="0"/>
        <v>19</v>
      </c>
      <c r="B23" s="13" t="s">
        <v>224</v>
      </c>
      <c r="C23" s="36" t="s">
        <v>843</v>
      </c>
      <c r="D23" s="23">
        <v>0</v>
      </c>
      <c r="E23" s="23">
        <v>0</v>
      </c>
      <c r="F23" s="23">
        <f>Tabla25[[#This Row],[CANTIDAD REQUERIDA]]-Tabla25[[#This Row],[CANTIDAD ABASTECIDA]]</f>
        <v>0</v>
      </c>
      <c r="G23" s="13"/>
    </row>
    <row r="24" spans="1:7" x14ac:dyDescent="0.3">
      <c r="A24" s="13">
        <f t="shared" si="0"/>
        <v>20</v>
      </c>
      <c r="B24" s="13" t="s">
        <v>225</v>
      </c>
      <c r="C24" s="36" t="s">
        <v>844</v>
      </c>
      <c r="D24" s="23">
        <v>0</v>
      </c>
      <c r="E24" s="23">
        <v>0</v>
      </c>
      <c r="F24" s="23">
        <f>Tabla25[[#This Row],[CANTIDAD REQUERIDA]]-Tabla25[[#This Row],[CANTIDAD ABASTECIDA]]</f>
        <v>0</v>
      </c>
      <c r="G24" s="13"/>
    </row>
    <row r="25" spans="1:7" x14ac:dyDescent="0.3">
      <c r="A25" s="13">
        <f t="shared" si="0"/>
        <v>21</v>
      </c>
      <c r="B25" s="13" t="s">
        <v>226</v>
      </c>
      <c r="C25" s="36" t="s">
        <v>845</v>
      </c>
      <c r="D25" s="23">
        <v>0</v>
      </c>
      <c r="E25" s="23">
        <v>0</v>
      </c>
      <c r="F25" s="23">
        <f>Tabla25[[#This Row],[CANTIDAD REQUERIDA]]-Tabla25[[#This Row],[CANTIDAD ABASTECIDA]]</f>
        <v>0</v>
      </c>
      <c r="G25" s="13"/>
    </row>
    <row r="26" spans="1:7" x14ac:dyDescent="0.3">
      <c r="A26" s="13">
        <f t="shared" si="0"/>
        <v>22</v>
      </c>
      <c r="B26" s="13" t="s">
        <v>227</v>
      </c>
      <c r="C26" s="36" t="s">
        <v>258</v>
      </c>
      <c r="D26" s="23">
        <v>0</v>
      </c>
      <c r="E26" s="23">
        <v>0</v>
      </c>
      <c r="F26" s="23">
        <f>Tabla25[[#This Row],[CANTIDAD REQUERIDA]]-Tabla25[[#This Row],[CANTIDAD ABASTECIDA]]</f>
        <v>0</v>
      </c>
      <c r="G26" s="13"/>
    </row>
    <row r="27" spans="1:7" x14ac:dyDescent="0.3">
      <c r="A27" s="13">
        <f t="shared" si="0"/>
        <v>23</v>
      </c>
      <c r="B27" s="13" t="s">
        <v>228</v>
      </c>
      <c r="C27" s="37" t="s">
        <v>268</v>
      </c>
      <c r="D27" s="23">
        <v>0</v>
      </c>
      <c r="E27" s="23">
        <v>0</v>
      </c>
      <c r="F27" s="23">
        <f>Tabla25[[#This Row],[CANTIDAD REQUERIDA]]-Tabla25[[#This Row],[CANTIDAD ABASTECIDA]]</f>
        <v>0</v>
      </c>
      <c r="G27" s="13"/>
    </row>
    <row r="28" spans="1:7" x14ac:dyDescent="0.3">
      <c r="A28" s="13">
        <f t="shared" si="0"/>
        <v>24</v>
      </c>
      <c r="B28" s="13" t="s">
        <v>229</v>
      </c>
      <c r="C28" s="36" t="s">
        <v>846</v>
      </c>
      <c r="D28" s="23">
        <v>0</v>
      </c>
      <c r="E28" s="23">
        <v>0</v>
      </c>
      <c r="F28" s="23">
        <f>Tabla25[[#This Row],[CANTIDAD REQUERIDA]]-Tabla25[[#This Row],[CANTIDAD ABASTECIDA]]</f>
        <v>0</v>
      </c>
      <c r="G28" s="13"/>
    </row>
    <row r="29" spans="1:7" x14ac:dyDescent="0.3">
      <c r="A29" s="13">
        <f t="shared" si="0"/>
        <v>25</v>
      </c>
      <c r="B29" s="13" t="s">
        <v>230</v>
      </c>
      <c r="C29" s="36" t="s">
        <v>1120</v>
      </c>
      <c r="D29" s="23">
        <v>0</v>
      </c>
      <c r="E29" s="23">
        <v>0</v>
      </c>
      <c r="F29" s="23">
        <f>Tabla25[[#This Row],[CANTIDAD REQUERIDA]]-Tabla25[[#This Row],[CANTIDAD ABASTECIDA]]</f>
        <v>0</v>
      </c>
      <c r="G29" s="13"/>
    </row>
    <row r="30" spans="1:7" x14ac:dyDescent="0.3">
      <c r="A30" s="13">
        <f t="shared" si="0"/>
        <v>26</v>
      </c>
      <c r="B30" s="13" t="s">
        <v>231</v>
      </c>
      <c r="C30" s="36" t="s">
        <v>847</v>
      </c>
      <c r="D30" s="23">
        <v>0</v>
      </c>
      <c r="E30" s="23">
        <v>0</v>
      </c>
      <c r="F30" s="23">
        <f>Tabla25[[#This Row],[CANTIDAD REQUERIDA]]-Tabla25[[#This Row],[CANTIDAD ABASTECIDA]]</f>
        <v>0</v>
      </c>
      <c r="G30" s="13"/>
    </row>
    <row r="31" spans="1:7" x14ac:dyDescent="0.3">
      <c r="A31" s="13">
        <f t="shared" si="0"/>
        <v>27</v>
      </c>
      <c r="B31" s="13" t="s">
        <v>232</v>
      </c>
      <c r="C31" s="37" t="s">
        <v>269</v>
      </c>
      <c r="D31" s="23">
        <v>0</v>
      </c>
      <c r="E31" s="23">
        <v>0</v>
      </c>
      <c r="F31" s="23">
        <f>Tabla25[[#This Row],[CANTIDAD REQUERIDA]]-Tabla25[[#This Row],[CANTIDAD ABASTECIDA]]</f>
        <v>0</v>
      </c>
      <c r="G31" s="13"/>
    </row>
    <row r="32" spans="1:7" x14ac:dyDescent="0.3">
      <c r="A32" s="13">
        <f t="shared" si="0"/>
        <v>28</v>
      </c>
      <c r="B32" s="13" t="s">
        <v>233</v>
      </c>
      <c r="C32" s="36" t="s">
        <v>848</v>
      </c>
      <c r="D32" s="23">
        <v>0</v>
      </c>
      <c r="E32" s="23">
        <v>0</v>
      </c>
      <c r="F32" s="23">
        <f>Tabla25[[#This Row],[CANTIDAD REQUERIDA]]-Tabla25[[#This Row],[CANTIDAD ABASTECIDA]]</f>
        <v>0</v>
      </c>
      <c r="G32" s="13"/>
    </row>
    <row r="33" spans="1:7" x14ac:dyDescent="0.3">
      <c r="A33" s="13">
        <f t="shared" si="0"/>
        <v>29</v>
      </c>
      <c r="B33" s="13" t="s">
        <v>234</v>
      </c>
      <c r="C33" s="36" t="s">
        <v>239</v>
      </c>
      <c r="D33" s="23">
        <v>0</v>
      </c>
      <c r="E33" s="23">
        <v>0</v>
      </c>
      <c r="F33" s="23">
        <f>Tabla25[[#This Row],[CANTIDAD REQUERIDA]]-Tabla25[[#This Row],[CANTIDAD ABASTECIDA]]</f>
        <v>0</v>
      </c>
      <c r="G33" s="13"/>
    </row>
    <row r="34" spans="1:7" x14ac:dyDescent="0.3">
      <c r="A34" s="13">
        <f t="shared" si="0"/>
        <v>30</v>
      </c>
      <c r="B34" s="13" t="s">
        <v>235</v>
      </c>
      <c r="C34" s="36" t="s">
        <v>849</v>
      </c>
      <c r="D34" s="23">
        <v>0</v>
      </c>
      <c r="E34" s="23">
        <v>0</v>
      </c>
      <c r="F34" s="23">
        <f>Tabla25[[#This Row],[CANTIDAD REQUERIDA]]-Tabla25[[#This Row],[CANTIDAD ABASTECIDA]]</f>
        <v>0</v>
      </c>
      <c r="G34" s="13"/>
    </row>
    <row r="35" spans="1:7" x14ac:dyDescent="0.3">
      <c r="A35" s="13">
        <f t="shared" si="0"/>
        <v>31</v>
      </c>
      <c r="B35" s="13" t="s">
        <v>236</v>
      </c>
      <c r="C35" s="37" t="s">
        <v>850</v>
      </c>
      <c r="D35" s="23">
        <v>0</v>
      </c>
      <c r="E35" s="23">
        <v>0</v>
      </c>
      <c r="F35" s="23">
        <f>Tabla25[[#This Row],[CANTIDAD REQUERIDA]]-Tabla25[[#This Row],[CANTIDAD ABASTECIDA]]</f>
        <v>0</v>
      </c>
      <c r="G35" s="13"/>
    </row>
    <row r="36" spans="1:7" x14ac:dyDescent="0.3">
      <c r="A36" s="13">
        <f t="shared" si="0"/>
        <v>32</v>
      </c>
      <c r="B36" s="13" t="s">
        <v>237</v>
      </c>
      <c r="C36" s="38" t="s">
        <v>851</v>
      </c>
      <c r="D36" s="23">
        <v>0</v>
      </c>
      <c r="E36" s="23">
        <v>0</v>
      </c>
      <c r="F36" s="23">
        <f>Tabla25[[#This Row],[CANTIDAD REQUERIDA]]-Tabla25[[#This Row],[CANTIDAD ABASTECIDA]]</f>
        <v>0</v>
      </c>
      <c r="G36" s="13"/>
    </row>
    <row r="37" spans="1:7" x14ac:dyDescent="0.3">
      <c r="A37" s="13">
        <f t="shared" si="0"/>
        <v>33</v>
      </c>
      <c r="B37" s="13" t="s">
        <v>238</v>
      </c>
      <c r="C37" s="36" t="s">
        <v>852</v>
      </c>
      <c r="D37" s="23">
        <v>0</v>
      </c>
      <c r="E37" s="23">
        <v>0</v>
      </c>
      <c r="F37" s="23">
        <f>Tabla25[[#This Row],[CANTIDAD REQUERIDA]]-Tabla25[[#This Row],[CANTIDAD ABASTECIDA]]</f>
        <v>0</v>
      </c>
      <c r="G37" s="13"/>
    </row>
    <row r="38" spans="1:7" x14ac:dyDescent="0.3">
      <c r="A38" s="13">
        <f t="shared" si="0"/>
        <v>34</v>
      </c>
      <c r="B38" s="13" t="s">
        <v>240</v>
      </c>
      <c r="C38" s="36" t="s">
        <v>853</v>
      </c>
      <c r="D38" s="23">
        <v>0</v>
      </c>
      <c r="E38" s="23">
        <v>0</v>
      </c>
      <c r="F38" s="23">
        <f>Tabla25[[#This Row],[CANTIDAD REQUERIDA]]-Tabla25[[#This Row],[CANTIDAD ABASTECIDA]]</f>
        <v>0</v>
      </c>
      <c r="G38" s="13"/>
    </row>
    <row r="39" spans="1:7" x14ac:dyDescent="0.3">
      <c r="A39" s="13">
        <f t="shared" si="0"/>
        <v>35</v>
      </c>
      <c r="B39" s="13" t="s">
        <v>241</v>
      </c>
      <c r="C39" s="36" t="s">
        <v>259</v>
      </c>
      <c r="D39" s="23">
        <v>0</v>
      </c>
      <c r="E39" s="23">
        <v>0</v>
      </c>
      <c r="F39" s="23">
        <f>Tabla25[[#This Row],[CANTIDAD REQUERIDA]]-Tabla25[[#This Row],[CANTIDAD ABASTECIDA]]</f>
        <v>0</v>
      </c>
      <c r="G39" s="13"/>
    </row>
    <row r="40" spans="1:7" x14ac:dyDescent="0.3">
      <c r="A40" s="13">
        <f t="shared" si="0"/>
        <v>36</v>
      </c>
      <c r="B40" s="13" t="s">
        <v>242</v>
      </c>
      <c r="C40" s="36" t="s">
        <v>854</v>
      </c>
      <c r="D40" s="23">
        <v>0</v>
      </c>
      <c r="E40" s="23">
        <v>0</v>
      </c>
      <c r="F40" s="23">
        <f>Tabla25[[#This Row],[CANTIDAD REQUERIDA]]-Tabla25[[#This Row],[CANTIDAD ABASTECIDA]]</f>
        <v>0</v>
      </c>
      <c r="G40" s="13"/>
    </row>
    <row r="41" spans="1:7" x14ac:dyDescent="0.3">
      <c r="A41" s="13">
        <f t="shared" si="0"/>
        <v>37</v>
      </c>
      <c r="B41" s="13" t="s">
        <v>243</v>
      </c>
      <c r="C41" s="36" t="s">
        <v>855</v>
      </c>
      <c r="D41" s="23">
        <v>0</v>
      </c>
      <c r="E41" s="23">
        <v>0</v>
      </c>
      <c r="F41" s="23">
        <f>Tabla25[[#This Row],[CANTIDAD REQUERIDA]]-Tabla25[[#This Row],[CANTIDAD ABASTECIDA]]</f>
        <v>0</v>
      </c>
      <c r="G41" s="13"/>
    </row>
    <row r="42" spans="1:7" x14ac:dyDescent="0.3">
      <c r="A42" s="13">
        <f t="shared" si="0"/>
        <v>38</v>
      </c>
      <c r="B42" s="13" t="s">
        <v>244</v>
      </c>
      <c r="C42" s="37" t="s">
        <v>856</v>
      </c>
      <c r="D42" s="23">
        <v>0</v>
      </c>
      <c r="E42" s="23">
        <v>0</v>
      </c>
      <c r="F42" s="23">
        <f>Tabla25[[#This Row],[CANTIDAD REQUERIDA]]-Tabla25[[#This Row],[CANTIDAD ABASTECIDA]]</f>
        <v>0</v>
      </c>
      <c r="G42" s="13"/>
    </row>
    <row r="43" spans="1:7" x14ac:dyDescent="0.3">
      <c r="A43" s="13">
        <f t="shared" si="0"/>
        <v>39</v>
      </c>
      <c r="B43" s="13" t="s">
        <v>245</v>
      </c>
      <c r="C43" s="36" t="s">
        <v>1260</v>
      </c>
      <c r="D43" s="23">
        <v>0</v>
      </c>
      <c r="E43" s="23">
        <v>0</v>
      </c>
      <c r="F43" s="23">
        <f>Tabla25[[#This Row],[CANTIDAD REQUERIDA]]-Tabla25[[#This Row],[CANTIDAD ABASTECIDA]]</f>
        <v>0</v>
      </c>
      <c r="G43" s="13"/>
    </row>
    <row r="44" spans="1:7" x14ac:dyDescent="0.3">
      <c r="A44" s="14">
        <f t="shared" si="0"/>
        <v>40</v>
      </c>
      <c r="B44" s="13" t="s">
        <v>246</v>
      </c>
      <c r="C44" s="36" t="s">
        <v>857</v>
      </c>
      <c r="D44" s="23">
        <v>0</v>
      </c>
      <c r="E44" s="23">
        <v>0</v>
      </c>
      <c r="F44" s="23">
        <f>Tabla25[[#This Row],[CANTIDAD REQUERIDA]]-Tabla25[[#This Row],[CANTIDAD ABASTECIDA]]</f>
        <v>0</v>
      </c>
      <c r="G44" s="13"/>
    </row>
    <row r="45" spans="1:7" x14ac:dyDescent="0.3">
      <c r="A45" s="14">
        <f t="shared" si="0"/>
        <v>41</v>
      </c>
      <c r="B45" s="13" t="s">
        <v>247</v>
      </c>
      <c r="C45" s="36" t="s">
        <v>260</v>
      </c>
      <c r="D45" s="23">
        <v>0</v>
      </c>
      <c r="E45" s="23">
        <v>0</v>
      </c>
      <c r="F45" s="23">
        <f>Tabla25[[#This Row],[CANTIDAD REQUERIDA]]-Tabla25[[#This Row],[CANTIDAD ABASTECIDA]]</f>
        <v>0</v>
      </c>
      <c r="G45" s="13"/>
    </row>
    <row r="46" spans="1:7" x14ac:dyDescent="0.3">
      <c r="A46" s="13">
        <f t="shared" si="0"/>
        <v>42</v>
      </c>
      <c r="B46" s="13" t="s">
        <v>248</v>
      </c>
      <c r="C46" s="36" t="s">
        <v>266</v>
      </c>
      <c r="D46" s="23">
        <v>0</v>
      </c>
      <c r="E46" s="23">
        <v>0</v>
      </c>
      <c r="F46" s="23">
        <f>Tabla25[[#This Row],[CANTIDAD REQUERIDA]]-Tabla25[[#This Row],[CANTIDAD ABASTECIDA]]</f>
        <v>0</v>
      </c>
      <c r="G46" s="13"/>
    </row>
    <row r="47" spans="1:7" x14ac:dyDescent="0.3">
      <c r="A47" s="13">
        <f t="shared" si="0"/>
        <v>43</v>
      </c>
      <c r="B47" s="13" t="s">
        <v>250</v>
      </c>
      <c r="C47" s="36" t="s">
        <v>267</v>
      </c>
      <c r="D47" s="23">
        <v>0</v>
      </c>
      <c r="E47" s="23">
        <v>0</v>
      </c>
      <c r="F47" s="23">
        <f>Tabla25[[#This Row],[CANTIDAD REQUERIDA]]-Tabla25[[#This Row],[CANTIDAD ABASTECIDA]]</f>
        <v>0</v>
      </c>
      <c r="G47" s="13"/>
    </row>
    <row r="48" spans="1:7" x14ac:dyDescent="0.3">
      <c r="A48" s="13">
        <f t="shared" si="0"/>
        <v>44</v>
      </c>
      <c r="B48" s="13" t="s">
        <v>251</v>
      </c>
      <c r="C48" s="36" t="s">
        <v>263</v>
      </c>
      <c r="D48" s="23">
        <v>0</v>
      </c>
      <c r="E48" s="23">
        <v>0</v>
      </c>
      <c r="F48" s="23">
        <f>Tabla25[[#This Row],[CANTIDAD REQUERIDA]]-Tabla25[[#This Row],[CANTIDAD ABASTECIDA]]</f>
        <v>0</v>
      </c>
      <c r="G48" s="13"/>
    </row>
    <row r="49" spans="1:7" x14ac:dyDescent="0.3">
      <c r="A49" s="13">
        <f t="shared" si="0"/>
        <v>45</v>
      </c>
      <c r="B49" s="13" t="s">
        <v>252</v>
      </c>
      <c r="C49" s="36" t="s">
        <v>858</v>
      </c>
      <c r="D49" s="23">
        <v>0</v>
      </c>
      <c r="E49" s="23">
        <v>0</v>
      </c>
      <c r="F49" s="23">
        <f>Tabla25[[#This Row],[CANTIDAD REQUERIDA]]-Tabla25[[#This Row],[CANTIDAD ABASTECIDA]]</f>
        <v>0</v>
      </c>
      <c r="G49" s="13"/>
    </row>
    <row r="50" spans="1:7" x14ac:dyDescent="0.3">
      <c r="A50" s="13">
        <f t="shared" si="0"/>
        <v>46</v>
      </c>
      <c r="B50" s="13" t="s">
        <v>253</v>
      </c>
      <c r="C50" s="36" t="s">
        <v>859</v>
      </c>
      <c r="D50" s="23">
        <v>0</v>
      </c>
      <c r="E50" s="23">
        <v>0</v>
      </c>
      <c r="F50" s="23">
        <f>Tabla25[[#This Row],[CANTIDAD REQUERIDA]]-Tabla25[[#This Row],[CANTIDAD ABASTECIDA]]</f>
        <v>0</v>
      </c>
      <c r="G50" s="13"/>
    </row>
    <row r="51" spans="1:7" x14ac:dyDescent="0.3">
      <c r="A51" s="13">
        <f t="shared" si="0"/>
        <v>47</v>
      </c>
      <c r="B51" s="13" t="s">
        <v>254</v>
      </c>
      <c r="C51" s="36" t="s">
        <v>860</v>
      </c>
      <c r="D51" s="23">
        <v>0</v>
      </c>
      <c r="E51" s="23">
        <v>0</v>
      </c>
      <c r="F51" s="23">
        <f>Tabla25[[#This Row],[CANTIDAD REQUERIDA]]-Tabla25[[#This Row],[CANTIDAD ABASTECIDA]]</f>
        <v>0</v>
      </c>
      <c r="G51" s="13"/>
    </row>
    <row r="52" spans="1:7" x14ac:dyDescent="0.3">
      <c r="A52" s="14">
        <f t="shared" si="0"/>
        <v>48</v>
      </c>
      <c r="B52" s="14" t="s">
        <v>255</v>
      </c>
      <c r="C52" s="160" t="s">
        <v>861</v>
      </c>
      <c r="D52" s="23">
        <v>0</v>
      </c>
      <c r="E52" s="23">
        <v>0</v>
      </c>
      <c r="F52" s="23">
        <v>0</v>
      </c>
      <c r="G52" s="13"/>
    </row>
  </sheetData>
  <mergeCells count="1">
    <mergeCell ref="A2:E2"/>
  </mergeCells>
  <phoneticPr fontId="6" type="noConversion"/>
  <conditionalFormatting sqref="C5:C52">
    <cfRule type="duplicateValues" dxfId="71" priority="104"/>
  </conditionalFormatting>
  <pageMargins left="0.25" right="0.25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94ED0-B691-4AB7-8B14-4439A60EEC3F}">
  <sheetPr codeName="Hoja5">
    <tabColor rgb="FF00B050"/>
  </sheetPr>
  <dimension ref="A2:G55"/>
  <sheetViews>
    <sheetView topLeftCell="A37" zoomScaleNormal="100" workbookViewId="0">
      <selection activeCell="C7" sqref="C7"/>
    </sheetView>
  </sheetViews>
  <sheetFormatPr baseColWidth="10" defaultColWidth="11.44140625" defaultRowHeight="14.4" x14ac:dyDescent="0.3"/>
  <cols>
    <col min="1" max="1" width="5.5546875" style="9" customWidth="1"/>
    <col min="2" max="2" width="11.44140625" style="9"/>
    <col min="3" max="3" width="61.33203125" style="16" bestFit="1" customWidth="1"/>
    <col min="4" max="6" width="18.6640625" style="9" customWidth="1"/>
    <col min="7" max="7" width="18.6640625" style="16" customWidth="1"/>
    <col min="8" max="8" width="20.88671875" style="9" customWidth="1"/>
    <col min="9" max="9" width="18.88671875" style="9" bestFit="1" customWidth="1"/>
    <col min="10" max="16384" width="11.44140625" style="9"/>
  </cols>
  <sheetData>
    <row r="2" spans="1:7" ht="25.8" x14ac:dyDescent="0.3">
      <c r="A2" s="213" t="s">
        <v>307</v>
      </c>
      <c r="B2" s="213"/>
      <c r="C2" s="213"/>
      <c r="D2" s="213"/>
      <c r="E2" s="213"/>
      <c r="F2" s="213"/>
    </row>
    <row r="3" spans="1:7" x14ac:dyDescent="0.3">
      <c r="B3" s="10"/>
      <c r="C3" s="15"/>
      <c r="D3" s="11"/>
      <c r="E3" s="11"/>
      <c r="F3" s="11"/>
    </row>
    <row r="4" spans="1:7" s="12" customFormat="1" ht="39.9" customHeight="1" x14ac:dyDescent="0.3">
      <c r="A4" s="6" t="s">
        <v>4</v>
      </c>
      <c r="B4" s="7" t="s">
        <v>0</v>
      </c>
      <c r="C4" s="8" t="s">
        <v>759</v>
      </c>
      <c r="D4" s="5" t="s">
        <v>144</v>
      </c>
      <c r="E4" s="5" t="s">
        <v>202</v>
      </c>
      <c r="F4" s="5" t="s">
        <v>203</v>
      </c>
      <c r="G4" s="5" t="s">
        <v>197</v>
      </c>
    </row>
    <row r="5" spans="1:7" x14ac:dyDescent="0.3">
      <c r="A5" s="17">
        <f t="shared" ref="A5:A36" si="0">ROW(A5)-4</f>
        <v>1</v>
      </c>
      <c r="B5" s="18" t="s">
        <v>308</v>
      </c>
      <c r="C5" s="39" t="s">
        <v>271</v>
      </c>
      <c r="D5" s="24">
        <v>0</v>
      </c>
      <c r="E5" s="23">
        <v>0</v>
      </c>
      <c r="F5" s="23">
        <f>(Tabla256[[#This Row],[CANTIDAD REQUERIDA]]-Tabla256[[#This Row],[CANTIDAD ABASTECIDA]])</f>
        <v>0</v>
      </c>
      <c r="G5" s="54"/>
    </row>
    <row r="6" spans="1:7" x14ac:dyDescent="0.3">
      <c r="A6" s="17">
        <f t="shared" si="0"/>
        <v>2</v>
      </c>
      <c r="B6" s="18" t="s">
        <v>309</v>
      </c>
      <c r="C6" s="39" t="s">
        <v>272</v>
      </c>
      <c r="D6" s="24">
        <v>0</v>
      </c>
      <c r="E6" s="23">
        <v>0</v>
      </c>
      <c r="F6" s="23">
        <f>(Tabla256[[#This Row],[CANTIDAD REQUERIDA]]-Tabla256[[#This Row],[CANTIDAD ABASTECIDA]])</f>
        <v>0</v>
      </c>
      <c r="G6" s="54"/>
    </row>
    <row r="7" spans="1:7" x14ac:dyDescent="0.3">
      <c r="A7" s="17">
        <f t="shared" si="0"/>
        <v>3</v>
      </c>
      <c r="B7" s="18" t="s">
        <v>310</v>
      </c>
      <c r="C7" s="39" t="s">
        <v>273</v>
      </c>
      <c r="D7" s="24">
        <v>0</v>
      </c>
      <c r="E7" s="23">
        <v>0</v>
      </c>
      <c r="F7" s="23">
        <f>(Tabla256[[#This Row],[CANTIDAD REQUERIDA]]-Tabla256[[#This Row],[CANTIDAD ABASTECIDA]])</f>
        <v>0</v>
      </c>
      <c r="G7" s="54"/>
    </row>
    <row r="8" spans="1:7" x14ac:dyDescent="0.3">
      <c r="A8" s="17">
        <f t="shared" si="0"/>
        <v>4</v>
      </c>
      <c r="B8" s="18" t="s">
        <v>311</v>
      </c>
      <c r="C8" s="39" t="s">
        <v>274</v>
      </c>
      <c r="D8" s="24">
        <v>0</v>
      </c>
      <c r="E8" s="23">
        <v>0</v>
      </c>
      <c r="F8" s="23">
        <f>(Tabla256[[#This Row],[CANTIDAD REQUERIDA]]-Tabla256[[#This Row],[CANTIDAD ABASTECIDA]])</f>
        <v>0</v>
      </c>
      <c r="G8" s="54"/>
    </row>
    <row r="9" spans="1:7" x14ac:dyDescent="0.3">
      <c r="A9" s="17">
        <f t="shared" si="0"/>
        <v>5</v>
      </c>
      <c r="B9" s="18" t="s">
        <v>1451</v>
      </c>
      <c r="C9" s="56" t="s">
        <v>1450</v>
      </c>
      <c r="D9" s="24">
        <v>0</v>
      </c>
      <c r="E9" s="23">
        <v>0</v>
      </c>
      <c r="F9" s="23">
        <f>(Tabla256[[#This Row],[CANTIDAD REQUERIDA]]-Tabla256[[#This Row],[CANTIDAD ABASTECIDA]])</f>
        <v>0</v>
      </c>
      <c r="G9" s="54"/>
    </row>
    <row r="10" spans="1:7" x14ac:dyDescent="0.3">
      <c r="A10" s="17">
        <f t="shared" si="0"/>
        <v>6</v>
      </c>
      <c r="B10" s="18" t="s">
        <v>312</v>
      </c>
      <c r="C10" s="40" t="s">
        <v>275</v>
      </c>
      <c r="D10" s="24">
        <v>0</v>
      </c>
      <c r="E10" s="23">
        <v>0</v>
      </c>
      <c r="F10" s="23">
        <f>(Tabla256[[#This Row],[CANTIDAD REQUERIDA]]-Tabla256[[#This Row],[CANTIDAD ABASTECIDA]])</f>
        <v>0</v>
      </c>
      <c r="G10" s="54"/>
    </row>
    <row r="11" spans="1:7" x14ac:dyDescent="0.3">
      <c r="A11" s="17">
        <f t="shared" si="0"/>
        <v>7</v>
      </c>
      <c r="B11" s="18" t="s">
        <v>313</v>
      </c>
      <c r="C11" s="40" t="s">
        <v>276</v>
      </c>
      <c r="D11" s="24">
        <v>0</v>
      </c>
      <c r="E11" s="23">
        <v>0</v>
      </c>
      <c r="F11" s="23">
        <f>(Tabla256[[#This Row],[CANTIDAD REQUERIDA]]-Tabla256[[#This Row],[CANTIDAD ABASTECIDA]])</f>
        <v>0</v>
      </c>
      <c r="G11" s="54"/>
    </row>
    <row r="12" spans="1:7" x14ac:dyDescent="0.3">
      <c r="A12" s="17">
        <f t="shared" si="0"/>
        <v>8</v>
      </c>
      <c r="B12" s="18" t="s">
        <v>1350</v>
      </c>
      <c r="C12" s="56" t="s">
        <v>1349</v>
      </c>
      <c r="D12" s="24">
        <v>0</v>
      </c>
      <c r="E12" s="23">
        <v>0</v>
      </c>
      <c r="F12" s="23">
        <f>(Tabla256[[#This Row],[CANTIDAD REQUERIDA]]-Tabla256[[#This Row],[CANTIDAD ABASTECIDA]])</f>
        <v>0</v>
      </c>
      <c r="G12" s="54"/>
    </row>
    <row r="13" spans="1:7" x14ac:dyDescent="0.3">
      <c r="A13" s="17">
        <f t="shared" si="0"/>
        <v>9</v>
      </c>
      <c r="B13" s="18" t="s">
        <v>314</v>
      </c>
      <c r="C13" s="39" t="s">
        <v>277</v>
      </c>
      <c r="D13" s="24">
        <v>0</v>
      </c>
      <c r="E13" s="23">
        <v>0</v>
      </c>
      <c r="F13" s="23">
        <f>(Tabla256[[#This Row],[CANTIDAD REQUERIDA]]-Tabla256[[#This Row],[CANTIDAD ABASTECIDA]])</f>
        <v>0</v>
      </c>
      <c r="G13" s="54"/>
    </row>
    <row r="14" spans="1:7" x14ac:dyDescent="0.3">
      <c r="A14" s="17">
        <f t="shared" si="0"/>
        <v>10</v>
      </c>
      <c r="B14" s="18" t="s">
        <v>315</v>
      </c>
      <c r="C14" s="39" t="s">
        <v>278</v>
      </c>
      <c r="D14" s="24">
        <v>0</v>
      </c>
      <c r="E14" s="23">
        <v>0</v>
      </c>
      <c r="F14" s="23">
        <f>(Tabla256[[#This Row],[CANTIDAD REQUERIDA]]-Tabla256[[#This Row],[CANTIDAD ABASTECIDA]])</f>
        <v>0</v>
      </c>
      <c r="G14" s="54"/>
    </row>
    <row r="15" spans="1:7" x14ac:dyDescent="0.3">
      <c r="A15" s="17">
        <f t="shared" si="0"/>
        <v>11</v>
      </c>
      <c r="B15" s="18" t="s">
        <v>316</v>
      </c>
      <c r="C15" s="40" t="s">
        <v>279</v>
      </c>
      <c r="D15" s="24">
        <v>0</v>
      </c>
      <c r="E15" s="23">
        <v>0</v>
      </c>
      <c r="F15" s="23">
        <f>(Tabla256[[#This Row],[CANTIDAD REQUERIDA]]-Tabla256[[#This Row],[CANTIDAD ABASTECIDA]])</f>
        <v>0</v>
      </c>
      <c r="G15" s="54"/>
    </row>
    <row r="16" spans="1:7" x14ac:dyDescent="0.3">
      <c r="A16" s="17">
        <f t="shared" si="0"/>
        <v>12</v>
      </c>
      <c r="B16" s="18" t="s">
        <v>1354</v>
      </c>
      <c r="C16" s="56" t="s">
        <v>1353</v>
      </c>
      <c r="D16" s="24">
        <v>0</v>
      </c>
      <c r="E16" s="23">
        <v>0</v>
      </c>
      <c r="F16" s="23">
        <f>(Tabla256[[#This Row],[CANTIDAD REQUERIDA]]-Tabla256[[#This Row],[CANTIDAD ABASTECIDA]])</f>
        <v>0</v>
      </c>
      <c r="G16" s="54"/>
    </row>
    <row r="17" spans="1:7" x14ac:dyDescent="0.3">
      <c r="A17" s="17">
        <f t="shared" si="0"/>
        <v>13</v>
      </c>
      <c r="B17" s="18" t="s">
        <v>317</v>
      </c>
      <c r="C17" s="40" t="s">
        <v>280</v>
      </c>
      <c r="D17" s="24">
        <v>0</v>
      </c>
      <c r="E17" s="23">
        <v>0</v>
      </c>
      <c r="F17" s="23">
        <f>(Tabla256[[#This Row],[CANTIDAD REQUERIDA]]-Tabla256[[#This Row],[CANTIDAD ABASTECIDA]])</f>
        <v>0</v>
      </c>
      <c r="G17" s="54"/>
    </row>
    <row r="18" spans="1:7" x14ac:dyDescent="0.3">
      <c r="A18" s="17">
        <f t="shared" si="0"/>
        <v>14</v>
      </c>
      <c r="B18" s="18" t="s">
        <v>318</v>
      </c>
      <c r="C18" s="40" t="s">
        <v>281</v>
      </c>
      <c r="D18" s="24">
        <v>0</v>
      </c>
      <c r="E18" s="23">
        <v>0</v>
      </c>
      <c r="F18" s="23">
        <f>(Tabla256[[#This Row],[CANTIDAD REQUERIDA]]-Tabla256[[#This Row],[CANTIDAD ABASTECIDA]])</f>
        <v>0</v>
      </c>
      <c r="G18" s="54"/>
    </row>
    <row r="19" spans="1:7" x14ac:dyDescent="0.3">
      <c r="A19" s="17">
        <f t="shared" si="0"/>
        <v>15</v>
      </c>
      <c r="B19" s="18" t="s">
        <v>319</v>
      </c>
      <c r="C19" s="40" t="s">
        <v>282</v>
      </c>
      <c r="D19" s="24">
        <v>0</v>
      </c>
      <c r="E19" s="23">
        <v>0</v>
      </c>
      <c r="F19" s="23">
        <f>(Tabla256[[#This Row],[CANTIDAD REQUERIDA]]-Tabla256[[#This Row],[CANTIDAD ABASTECIDA]])</f>
        <v>0</v>
      </c>
      <c r="G19" s="54"/>
    </row>
    <row r="20" spans="1:7" x14ac:dyDescent="0.3">
      <c r="A20" s="17">
        <f t="shared" si="0"/>
        <v>16</v>
      </c>
      <c r="B20" s="18" t="s">
        <v>320</v>
      </c>
      <c r="C20" s="56" t="s">
        <v>283</v>
      </c>
      <c r="D20" s="24">
        <v>0</v>
      </c>
      <c r="E20" s="23">
        <v>0</v>
      </c>
      <c r="F20" s="23">
        <f>(Tabla256[[#This Row],[CANTIDAD REQUERIDA]]-Tabla256[[#This Row],[CANTIDAD ABASTECIDA]])</f>
        <v>0</v>
      </c>
      <c r="G20" s="54"/>
    </row>
    <row r="21" spans="1:7" x14ac:dyDescent="0.3">
      <c r="A21" s="17">
        <f t="shared" si="0"/>
        <v>17</v>
      </c>
      <c r="B21" s="18" t="s">
        <v>321</v>
      </c>
      <c r="C21" s="40" t="s">
        <v>1121</v>
      </c>
      <c r="D21" s="24">
        <v>0</v>
      </c>
      <c r="E21" s="23">
        <v>0</v>
      </c>
      <c r="F21" s="23">
        <f>(Tabla256[[#This Row],[CANTIDAD REQUERIDA]]-Tabla256[[#This Row],[CANTIDAD ABASTECIDA]])</f>
        <v>0</v>
      </c>
      <c r="G21" s="54"/>
    </row>
    <row r="22" spans="1:7" x14ac:dyDescent="0.3">
      <c r="A22" s="17">
        <f t="shared" si="0"/>
        <v>18</v>
      </c>
      <c r="B22" s="18" t="s">
        <v>322</v>
      </c>
      <c r="C22" s="40" t="s">
        <v>284</v>
      </c>
      <c r="D22" s="24">
        <v>0</v>
      </c>
      <c r="E22" s="23">
        <v>0</v>
      </c>
      <c r="F22" s="23">
        <f>(Tabla256[[#This Row],[CANTIDAD REQUERIDA]]-Tabla256[[#This Row],[CANTIDAD ABASTECIDA]])</f>
        <v>0</v>
      </c>
      <c r="G22" s="54"/>
    </row>
    <row r="23" spans="1:7" x14ac:dyDescent="0.3">
      <c r="A23" s="17">
        <f t="shared" si="0"/>
        <v>19</v>
      </c>
      <c r="B23" s="18" t="s">
        <v>323</v>
      </c>
      <c r="C23" s="40" t="s">
        <v>285</v>
      </c>
      <c r="D23" s="24">
        <v>0</v>
      </c>
      <c r="E23" s="23">
        <v>0</v>
      </c>
      <c r="F23" s="23">
        <f>(Tabla256[[#This Row],[CANTIDAD REQUERIDA]]-Tabla256[[#This Row],[CANTIDAD ABASTECIDA]])</f>
        <v>0</v>
      </c>
      <c r="G23" s="54"/>
    </row>
    <row r="24" spans="1:7" x14ac:dyDescent="0.3">
      <c r="A24" s="17">
        <f t="shared" si="0"/>
        <v>20</v>
      </c>
      <c r="B24" s="18" t="s">
        <v>324</v>
      </c>
      <c r="C24" s="40" t="s">
        <v>286</v>
      </c>
      <c r="D24" s="24">
        <v>0</v>
      </c>
      <c r="E24" s="23">
        <v>0</v>
      </c>
      <c r="F24" s="23">
        <f>(Tabla256[[#This Row],[CANTIDAD REQUERIDA]]-Tabla256[[#This Row],[CANTIDAD ABASTECIDA]])</f>
        <v>0</v>
      </c>
      <c r="G24" s="54"/>
    </row>
    <row r="25" spans="1:7" x14ac:dyDescent="0.3">
      <c r="A25" s="17">
        <f t="shared" si="0"/>
        <v>21</v>
      </c>
      <c r="B25" s="18" t="s">
        <v>325</v>
      </c>
      <c r="C25" s="40" t="s">
        <v>287</v>
      </c>
      <c r="D25" s="24">
        <v>0</v>
      </c>
      <c r="E25" s="23">
        <v>0</v>
      </c>
      <c r="F25" s="23">
        <f>(Tabla256[[#This Row],[CANTIDAD REQUERIDA]]-Tabla256[[#This Row],[CANTIDAD ABASTECIDA]])</f>
        <v>0</v>
      </c>
      <c r="G25" s="54"/>
    </row>
    <row r="26" spans="1:7" x14ac:dyDescent="0.3">
      <c r="A26" s="17">
        <f t="shared" si="0"/>
        <v>22</v>
      </c>
      <c r="B26" s="18" t="s">
        <v>326</v>
      </c>
      <c r="C26" s="40" t="s">
        <v>288</v>
      </c>
      <c r="D26" s="24">
        <v>0</v>
      </c>
      <c r="E26" s="23">
        <v>0</v>
      </c>
      <c r="F26" s="23">
        <f>(Tabla256[[#This Row],[CANTIDAD REQUERIDA]]-Tabla256[[#This Row],[CANTIDAD ABASTECIDA]])</f>
        <v>0</v>
      </c>
      <c r="G26" s="54"/>
    </row>
    <row r="27" spans="1:7" x14ac:dyDescent="0.3">
      <c r="A27" s="17">
        <f t="shared" si="0"/>
        <v>23</v>
      </c>
      <c r="B27" s="18" t="s">
        <v>327</v>
      </c>
      <c r="C27" s="40" t="s">
        <v>289</v>
      </c>
      <c r="D27" s="24">
        <v>0</v>
      </c>
      <c r="E27" s="23">
        <v>0</v>
      </c>
      <c r="F27" s="23">
        <f>(Tabla256[[#This Row],[CANTIDAD REQUERIDA]]-Tabla256[[#This Row],[CANTIDAD ABASTECIDA]])</f>
        <v>0</v>
      </c>
      <c r="G27" s="54"/>
    </row>
    <row r="28" spans="1:7" x14ac:dyDescent="0.3">
      <c r="A28" s="17">
        <f t="shared" si="0"/>
        <v>24</v>
      </c>
      <c r="B28" s="18" t="s">
        <v>328</v>
      </c>
      <c r="C28" s="40" t="s">
        <v>1300</v>
      </c>
      <c r="D28" s="24">
        <v>0</v>
      </c>
      <c r="E28" s="23">
        <v>0</v>
      </c>
      <c r="F28" s="23">
        <f>(Tabla256[[#This Row],[CANTIDAD REQUERIDA]]-Tabla256[[#This Row],[CANTIDAD ABASTECIDA]])</f>
        <v>0</v>
      </c>
      <c r="G28" s="54"/>
    </row>
    <row r="29" spans="1:7" x14ac:dyDescent="0.3">
      <c r="A29" s="17">
        <f t="shared" si="0"/>
        <v>25</v>
      </c>
      <c r="B29" s="18" t="s">
        <v>329</v>
      </c>
      <c r="C29" s="40" t="s">
        <v>290</v>
      </c>
      <c r="D29" s="24">
        <v>0</v>
      </c>
      <c r="E29" s="23">
        <v>0</v>
      </c>
      <c r="F29" s="23">
        <f>(Tabla256[[#This Row],[CANTIDAD REQUERIDA]]-Tabla256[[#This Row],[CANTIDAD ABASTECIDA]])</f>
        <v>0</v>
      </c>
      <c r="G29" s="54"/>
    </row>
    <row r="30" spans="1:7" x14ac:dyDescent="0.3">
      <c r="A30" s="17">
        <f t="shared" si="0"/>
        <v>26</v>
      </c>
      <c r="B30" s="18" t="s">
        <v>330</v>
      </c>
      <c r="C30" s="40" t="s">
        <v>291</v>
      </c>
      <c r="D30" s="24">
        <v>0</v>
      </c>
      <c r="E30" s="23">
        <v>0</v>
      </c>
      <c r="F30" s="23">
        <f>(Tabla256[[#This Row],[CANTIDAD REQUERIDA]]-Tabla256[[#This Row],[CANTIDAD ABASTECIDA]])</f>
        <v>0</v>
      </c>
      <c r="G30" s="54"/>
    </row>
    <row r="31" spans="1:7" x14ac:dyDescent="0.3">
      <c r="A31" s="17">
        <f t="shared" si="0"/>
        <v>27</v>
      </c>
      <c r="B31" s="18" t="s">
        <v>331</v>
      </c>
      <c r="C31" s="39" t="s">
        <v>1122</v>
      </c>
      <c r="D31" s="24">
        <v>0</v>
      </c>
      <c r="E31" s="23">
        <v>0</v>
      </c>
      <c r="F31" s="23">
        <f>(Tabla256[[#This Row],[CANTIDAD REQUERIDA]]-Tabla256[[#This Row],[CANTIDAD ABASTECIDA]])</f>
        <v>0</v>
      </c>
      <c r="G31" s="54"/>
    </row>
    <row r="32" spans="1:7" x14ac:dyDescent="0.3">
      <c r="A32" s="17">
        <f t="shared" si="0"/>
        <v>28</v>
      </c>
      <c r="B32" s="18" t="s">
        <v>332</v>
      </c>
      <c r="C32" s="40" t="s">
        <v>292</v>
      </c>
      <c r="D32" s="24">
        <v>0</v>
      </c>
      <c r="E32" s="23">
        <v>0</v>
      </c>
      <c r="F32" s="23">
        <f>(Tabla256[[#This Row],[CANTIDAD REQUERIDA]]-Tabla256[[#This Row],[CANTIDAD ABASTECIDA]])</f>
        <v>0</v>
      </c>
      <c r="G32" s="54"/>
    </row>
    <row r="33" spans="1:7" x14ac:dyDescent="0.3">
      <c r="A33" s="17">
        <f t="shared" si="0"/>
        <v>29</v>
      </c>
      <c r="B33" s="18" t="s">
        <v>333</v>
      </c>
      <c r="C33" s="40" t="s">
        <v>1147</v>
      </c>
      <c r="D33" s="24">
        <v>0</v>
      </c>
      <c r="E33" s="23">
        <v>0</v>
      </c>
      <c r="F33" s="23">
        <f>(Tabla256[[#This Row],[CANTIDAD REQUERIDA]]-Tabla256[[#This Row],[CANTIDAD ABASTECIDA]])</f>
        <v>0</v>
      </c>
      <c r="G33" s="54"/>
    </row>
    <row r="34" spans="1:7" x14ac:dyDescent="0.3">
      <c r="A34" s="17">
        <f t="shared" si="0"/>
        <v>30</v>
      </c>
      <c r="B34" s="18" t="s">
        <v>334</v>
      </c>
      <c r="C34" s="40" t="s">
        <v>293</v>
      </c>
      <c r="D34" s="24">
        <v>0</v>
      </c>
      <c r="E34" s="23">
        <v>0</v>
      </c>
      <c r="F34" s="23">
        <f>(Tabla256[[#This Row],[CANTIDAD REQUERIDA]]-Tabla256[[#This Row],[CANTIDAD ABASTECIDA]])</f>
        <v>0</v>
      </c>
      <c r="G34" s="54"/>
    </row>
    <row r="35" spans="1:7" x14ac:dyDescent="0.3">
      <c r="A35" s="17">
        <f t="shared" si="0"/>
        <v>31</v>
      </c>
      <c r="B35" s="18" t="s">
        <v>335</v>
      </c>
      <c r="C35" s="40" t="s">
        <v>294</v>
      </c>
      <c r="D35" s="24">
        <v>0</v>
      </c>
      <c r="E35" s="23">
        <v>0</v>
      </c>
      <c r="F35" s="23">
        <f>(Tabla256[[#This Row],[CANTIDAD REQUERIDA]]-Tabla256[[#This Row],[CANTIDAD ABASTECIDA]])</f>
        <v>0</v>
      </c>
      <c r="G35" s="54"/>
    </row>
    <row r="36" spans="1:7" x14ac:dyDescent="0.3">
      <c r="A36" s="17">
        <f t="shared" si="0"/>
        <v>32</v>
      </c>
      <c r="B36" s="18" t="s">
        <v>336</v>
      </c>
      <c r="C36" s="39" t="s">
        <v>295</v>
      </c>
      <c r="D36" s="24">
        <v>0</v>
      </c>
      <c r="E36" s="23">
        <v>0</v>
      </c>
      <c r="F36" s="23">
        <f>(Tabla256[[#This Row],[CANTIDAD REQUERIDA]]-Tabla256[[#This Row],[CANTIDAD ABASTECIDA]])</f>
        <v>0</v>
      </c>
      <c r="G36" s="54"/>
    </row>
    <row r="37" spans="1:7" x14ac:dyDescent="0.3">
      <c r="A37" s="17">
        <f t="shared" ref="A37:A55" si="1">ROW(A37)-4</f>
        <v>33</v>
      </c>
      <c r="B37" s="18" t="s">
        <v>337</v>
      </c>
      <c r="C37" s="41" t="s">
        <v>296</v>
      </c>
      <c r="D37" s="24">
        <v>0</v>
      </c>
      <c r="E37" s="23">
        <v>0</v>
      </c>
      <c r="F37" s="23">
        <f>(Tabla256[[#This Row],[CANTIDAD REQUERIDA]]-Tabla256[[#This Row],[CANTIDAD ABASTECIDA]])</f>
        <v>0</v>
      </c>
      <c r="G37" s="54"/>
    </row>
    <row r="38" spans="1:7" x14ac:dyDescent="0.3">
      <c r="A38" s="17">
        <f t="shared" si="1"/>
        <v>34</v>
      </c>
      <c r="B38" s="18" t="s">
        <v>338</v>
      </c>
      <c r="C38" s="40" t="s">
        <v>1123</v>
      </c>
      <c r="D38" s="24">
        <v>0</v>
      </c>
      <c r="E38" s="23">
        <v>0</v>
      </c>
      <c r="F38" s="23">
        <f>(Tabla256[[#This Row],[CANTIDAD REQUERIDA]]-Tabla256[[#This Row],[CANTIDAD ABASTECIDA]])</f>
        <v>0</v>
      </c>
      <c r="G38" s="54"/>
    </row>
    <row r="39" spans="1:7" x14ac:dyDescent="0.3">
      <c r="A39" s="17">
        <f t="shared" si="1"/>
        <v>35</v>
      </c>
      <c r="B39" s="18" t="s">
        <v>339</v>
      </c>
      <c r="C39" s="40" t="s">
        <v>1124</v>
      </c>
      <c r="D39" s="24">
        <v>0</v>
      </c>
      <c r="E39" s="23">
        <v>0</v>
      </c>
      <c r="F39" s="23">
        <f>(Tabla256[[#This Row],[CANTIDAD REQUERIDA]]-Tabla256[[#This Row],[CANTIDAD ABASTECIDA]])</f>
        <v>0</v>
      </c>
      <c r="G39" s="54"/>
    </row>
    <row r="40" spans="1:7" x14ac:dyDescent="0.3">
      <c r="A40" s="17">
        <f t="shared" si="1"/>
        <v>36</v>
      </c>
      <c r="B40" s="18" t="s">
        <v>340</v>
      </c>
      <c r="C40" s="40" t="s">
        <v>297</v>
      </c>
      <c r="D40" s="24">
        <v>0</v>
      </c>
      <c r="E40" s="23">
        <v>0</v>
      </c>
      <c r="F40" s="23">
        <f>(Tabla256[[#This Row],[CANTIDAD REQUERIDA]]-Tabla256[[#This Row],[CANTIDAD ABASTECIDA]])</f>
        <v>0</v>
      </c>
      <c r="G40" s="54"/>
    </row>
    <row r="41" spans="1:7" x14ac:dyDescent="0.3">
      <c r="A41" s="17">
        <f t="shared" si="1"/>
        <v>37</v>
      </c>
      <c r="B41" s="18" t="s">
        <v>341</v>
      </c>
      <c r="C41" s="40" t="s">
        <v>298</v>
      </c>
      <c r="D41" s="24">
        <v>0</v>
      </c>
      <c r="E41" s="23">
        <v>0</v>
      </c>
      <c r="F41" s="23">
        <f>(Tabla256[[#This Row],[CANTIDAD REQUERIDA]]-Tabla256[[#This Row],[CANTIDAD ABASTECIDA]])</f>
        <v>0</v>
      </c>
      <c r="G41" s="54"/>
    </row>
    <row r="42" spans="1:7" x14ac:dyDescent="0.3">
      <c r="A42" s="17">
        <f t="shared" si="1"/>
        <v>38</v>
      </c>
      <c r="B42" s="18" t="s">
        <v>342</v>
      </c>
      <c r="C42" s="39" t="s">
        <v>1444</v>
      </c>
      <c r="D42" s="24">
        <v>0</v>
      </c>
      <c r="E42" s="23">
        <v>0</v>
      </c>
      <c r="F42" s="23">
        <f>(Tabla256[[#This Row],[CANTIDAD REQUERIDA]]-Tabla256[[#This Row],[CANTIDAD ABASTECIDA]])</f>
        <v>0</v>
      </c>
      <c r="G42" s="54"/>
    </row>
    <row r="43" spans="1:7" x14ac:dyDescent="0.3">
      <c r="A43" s="17">
        <f t="shared" si="1"/>
        <v>39</v>
      </c>
      <c r="B43" s="18" t="s">
        <v>1446</v>
      </c>
      <c r="C43" s="56" t="s">
        <v>1445</v>
      </c>
      <c r="D43" s="24">
        <v>0</v>
      </c>
      <c r="E43" s="23">
        <v>0</v>
      </c>
      <c r="F43" s="23">
        <f>(Tabla256[[#This Row],[CANTIDAD REQUERIDA]]-Tabla256[[#This Row],[CANTIDAD ABASTECIDA]])</f>
        <v>0</v>
      </c>
      <c r="G43" s="54"/>
    </row>
    <row r="44" spans="1:7" x14ac:dyDescent="0.3">
      <c r="A44" s="17">
        <f t="shared" si="1"/>
        <v>40</v>
      </c>
      <c r="B44" s="18" t="s">
        <v>343</v>
      </c>
      <c r="C44" s="39" t="s">
        <v>299</v>
      </c>
      <c r="D44" s="24">
        <v>0</v>
      </c>
      <c r="E44" s="23">
        <v>0</v>
      </c>
      <c r="F44" s="23">
        <f>(Tabla256[[#This Row],[CANTIDAD REQUERIDA]]-Tabla256[[#This Row],[CANTIDAD ABASTECIDA]])</f>
        <v>0</v>
      </c>
      <c r="G44" s="54"/>
    </row>
    <row r="45" spans="1:7" x14ac:dyDescent="0.3">
      <c r="A45" s="17">
        <f t="shared" si="1"/>
        <v>41</v>
      </c>
      <c r="B45" s="18" t="s">
        <v>1311</v>
      </c>
      <c r="C45" s="56" t="s">
        <v>1312</v>
      </c>
      <c r="D45" s="24">
        <v>0</v>
      </c>
      <c r="E45" s="23">
        <v>0</v>
      </c>
      <c r="F45" s="23">
        <f>(Tabla256[[#This Row],[CANTIDAD REQUERIDA]]-Tabla256[[#This Row],[CANTIDAD ABASTECIDA]])</f>
        <v>0</v>
      </c>
      <c r="G45" s="54"/>
    </row>
    <row r="46" spans="1:7" x14ac:dyDescent="0.3">
      <c r="A46" s="17">
        <f t="shared" si="1"/>
        <v>42</v>
      </c>
      <c r="B46" s="18" t="s">
        <v>344</v>
      </c>
      <c r="C46" s="39" t="s">
        <v>300</v>
      </c>
      <c r="D46" s="24">
        <v>0</v>
      </c>
      <c r="E46" s="23">
        <v>0</v>
      </c>
      <c r="F46" s="23">
        <f>(Tabla256[[#This Row],[CANTIDAD REQUERIDA]]-Tabla256[[#This Row],[CANTIDAD ABASTECIDA]])</f>
        <v>0</v>
      </c>
      <c r="G46" s="54"/>
    </row>
    <row r="47" spans="1:7" x14ac:dyDescent="0.3">
      <c r="A47" s="17">
        <f t="shared" si="1"/>
        <v>43</v>
      </c>
      <c r="B47" s="18" t="s">
        <v>345</v>
      </c>
      <c r="C47" s="39" t="s">
        <v>1447</v>
      </c>
      <c r="D47" s="24">
        <v>0</v>
      </c>
      <c r="E47" s="23">
        <v>0</v>
      </c>
      <c r="F47" s="23">
        <f>(Tabla256[[#This Row],[CANTIDAD REQUERIDA]]-Tabla256[[#This Row],[CANTIDAD ABASTECIDA]])</f>
        <v>0</v>
      </c>
      <c r="G47" s="54"/>
    </row>
    <row r="48" spans="1:7" x14ac:dyDescent="0.3">
      <c r="A48" s="17">
        <f t="shared" si="1"/>
        <v>44</v>
      </c>
      <c r="B48" s="18" t="s">
        <v>1449</v>
      </c>
      <c r="C48" s="56" t="s">
        <v>1448</v>
      </c>
      <c r="D48" s="24">
        <v>0</v>
      </c>
      <c r="E48" s="23">
        <v>0</v>
      </c>
      <c r="F48" s="23">
        <f>(Tabla256[[#This Row],[CANTIDAD REQUERIDA]]-Tabla256[[#This Row],[CANTIDAD ABASTECIDA]])</f>
        <v>0</v>
      </c>
      <c r="G48" s="54"/>
    </row>
    <row r="49" spans="1:7" x14ac:dyDescent="0.3">
      <c r="A49" s="17">
        <f t="shared" si="1"/>
        <v>45</v>
      </c>
      <c r="B49" s="18" t="s">
        <v>346</v>
      </c>
      <c r="C49" s="40" t="s">
        <v>301</v>
      </c>
      <c r="D49" s="24">
        <v>0</v>
      </c>
      <c r="E49" s="23">
        <v>0</v>
      </c>
      <c r="F49" s="23">
        <f>(Tabla256[[#This Row],[CANTIDAD REQUERIDA]]-Tabla256[[#This Row],[CANTIDAD ABASTECIDA]])</f>
        <v>0</v>
      </c>
      <c r="G49" s="54"/>
    </row>
    <row r="50" spans="1:7" x14ac:dyDescent="0.3">
      <c r="A50" s="27">
        <f t="shared" si="1"/>
        <v>46</v>
      </c>
      <c r="B50" s="14" t="s">
        <v>347</v>
      </c>
      <c r="C50" s="161" t="s">
        <v>1145</v>
      </c>
      <c r="D50" s="24">
        <v>0</v>
      </c>
      <c r="E50" s="23">
        <v>0</v>
      </c>
      <c r="F50" s="23">
        <f>(Tabla256[[#This Row],[CANTIDAD REQUERIDA]]-Tabla256[[#This Row],[CANTIDAD ABASTECIDA]])</f>
        <v>0</v>
      </c>
      <c r="G50" s="54"/>
    </row>
    <row r="51" spans="1:7" x14ac:dyDescent="0.3">
      <c r="A51" s="27">
        <f t="shared" si="1"/>
        <v>47</v>
      </c>
      <c r="B51" s="14" t="s">
        <v>348</v>
      </c>
      <c r="C51" s="167" t="s">
        <v>302</v>
      </c>
      <c r="D51" s="24">
        <v>0</v>
      </c>
      <c r="E51" s="23">
        <v>0</v>
      </c>
      <c r="F51" s="23">
        <f>(Tabla256[[#This Row],[CANTIDAD REQUERIDA]]-Tabla256[[#This Row],[CANTIDAD ABASTECIDA]])</f>
        <v>0</v>
      </c>
      <c r="G51" s="54"/>
    </row>
    <row r="52" spans="1:7" x14ac:dyDescent="0.3">
      <c r="A52" s="27">
        <f t="shared" si="1"/>
        <v>48</v>
      </c>
      <c r="B52" s="14" t="s">
        <v>349</v>
      </c>
      <c r="C52" s="166" t="s">
        <v>303</v>
      </c>
      <c r="D52" s="24">
        <v>0</v>
      </c>
      <c r="E52" s="23">
        <v>0</v>
      </c>
      <c r="F52" s="23">
        <f>(Tabla256[[#This Row],[CANTIDAD REQUERIDA]]-Tabla256[[#This Row],[CANTIDAD ABASTECIDA]])</f>
        <v>0</v>
      </c>
      <c r="G52" s="54"/>
    </row>
    <row r="53" spans="1:7" x14ac:dyDescent="0.3">
      <c r="A53" s="27">
        <f t="shared" si="1"/>
        <v>49</v>
      </c>
      <c r="B53" s="14" t="s">
        <v>350</v>
      </c>
      <c r="C53" s="167" t="s">
        <v>304</v>
      </c>
      <c r="D53" s="24">
        <v>0</v>
      </c>
      <c r="E53" s="23">
        <v>0</v>
      </c>
      <c r="F53" s="23">
        <f>(Tabla256[[#This Row],[CANTIDAD REQUERIDA]]-Tabla256[[#This Row],[CANTIDAD ABASTECIDA]])</f>
        <v>0</v>
      </c>
      <c r="G53" s="54"/>
    </row>
    <row r="54" spans="1:7" x14ac:dyDescent="0.3">
      <c r="A54" s="27">
        <f t="shared" si="1"/>
        <v>50</v>
      </c>
      <c r="B54" s="14" t="s">
        <v>351</v>
      </c>
      <c r="C54" s="165" t="s">
        <v>305</v>
      </c>
      <c r="D54" s="24">
        <v>0</v>
      </c>
      <c r="E54" s="23">
        <v>0</v>
      </c>
      <c r="F54" s="23">
        <f>(Tabla256[[#This Row],[CANTIDAD REQUERIDA]]-Tabla256[[#This Row],[CANTIDAD ABASTECIDA]])</f>
        <v>0</v>
      </c>
      <c r="G54" s="54"/>
    </row>
    <row r="55" spans="1:7" x14ac:dyDescent="0.3">
      <c r="A55" s="27">
        <f t="shared" si="1"/>
        <v>51</v>
      </c>
      <c r="B55" s="14" t="s">
        <v>352</v>
      </c>
      <c r="C55" s="166" t="s">
        <v>306</v>
      </c>
      <c r="D55" s="24">
        <v>0</v>
      </c>
      <c r="E55" s="23">
        <v>0</v>
      </c>
      <c r="F55" s="23">
        <f>(Tabla256[[#This Row],[CANTIDAD REQUERIDA]]-Tabla256[[#This Row],[CANTIDAD ABASTECIDA]])</f>
        <v>0</v>
      </c>
      <c r="G55" s="54"/>
    </row>
  </sheetData>
  <mergeCells count="1">
    <mergeCell ref="A2:F2"/>
  </mergeCells>
  <phoneticPr fontId="6" type="noConversion"/>
  <conditionalFormatting sqref="C1:C1048576">
    <cfRule type="duplicateValues" dxfId="58" priority="2"/>
  </conditionalFormatting>
  <conditionalFormatting sqref="B1:B1048576">
    <cfRule type="duplicateValues" dxfId="57" priority="1"/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F455-11AD-42EE-A4BF-F9EB31B76D07}">
  <sheetPr codeName="Hoja6">
    <tabColor theme="3" tint="0.39997558519241921"/>
    <pageSetUpPr fitToPage="1"/>
  </sheetPr>
  <dimension ref="A2:G92"/>
  <sheetViews>
    <sheetView topLeftCell="A28" zoomScaleNormal="100" workbookViewId="0">
      <selection activeCell="C8" sqref="C8"/>
    </sheetView>
  </sheetViews>
  <sheetFormatPr baseColWidth="10" defaultColWidth="11.44140625" defaultRowHeight="14.4" x14ac:dyDescent="0.3"/>
  <cols>
    <col min="1" max="1" width="5.5546875" style="9" customWidth="1"/>
    <col min="2" max="2" width="11.44140625" style="9"/>
    <col min="3" max="3" width="61.33203125" style="16" bestFit="1" customWidth="1"/>
    <col min="4" max="6" width="18.6640625" style="9" customWidth="1"/>
    <col min="7" max="7" width="18.6640625" style="16" customWidth="1"/>
    <col min="8" max="8" width="20.88671875" style="9" customWidth="1"/>
    <col min="9" max="9" width="18.88671875" style="9" bestFit="1" customWidth="1"/>
    <col min="10" max="16384" width="11.44140625" style="9"/>
  </cols>
  <sheetData>
    <row r="2" spans="1:7" ht="25.8" x14ac:dyDescent="0.3">
      <c r="A2" s="213" t="s">
        <v>681</v>
      </c>
      <c r="B2" s="213"/>
      <c r="C2" s="213"/>
      <c r="D2" s="213"/>
      <c r="E2" s="213"/>
      <c r="F2" s="213"/>
    </row>
    <row r="3" spans="1:7" x14ac:dyDescent="0.3">
      <c r="B3" s="10"/>
      <c r="C3" s="15"/>
      <c r="D3" s="11"/>
      <c r="E3" s="11"/>
      <c r="F3" s="11"/>
    </row>
    <row r="4" spans="1:7" s="12" customFormat="1" ht="39.9" customHeight="1" x14ac:dyDescent="0.3">
      <c r="A4" s="6" t="s">
        <v>4</v>
      </c>
      <c r="B4" s="7" t="s">
        <v>0</v>
      </c>
      <c r="C4" s="8" t="s">
        <v>759</v>
      </c>
      <c r="D4" s="5" t="s">
        <v>144</v>
      </c>
      <c r="E4" s="5" t="s">
        <v>202</v>
      </c>
      <c r="F4" s="5" t="s">
        <v>203</v>
      </c>
      <c r="G4" s="5" t="s">
        <v>197</v>
      </c>
    </row>
    <row r="5" spans="1:7" x14ac:dyDescent="0.3">
      <c r="A5" s="17">
        <f t="shared" ref="A5:A36" si="0">ROW(A5)-4</f>
        <v>1</v>
      </c>
      <c r="B5" s="13" t="s">
        <v>686</v>
      </c>
      <c r="C5" s="42" t="s">
        <v>1182</v>
      </c>
      <c r="D5" s="23">
        <v>0</v>
      </c>
      <c r="E5" s="23">
        <v>0</v>
      </c>
      <c r="F5" s="23">
        <v>0</v>
      </c>
      <c r="G5" s="53"/>
    </row>
    <row r="6" spans="1:7" x14ac:dyDescent="0.3">
      <c r="A6" s="17">
        <f t="shared" si="0"/>
        <v>2</v>
      </c>
      <c r="B6" s="13" t="s">
        <v>687</v>
      </c>
      <c r="C6" s="42" t="s">
        <v>1183</v>
      </c>
      <c r="D6" s="23">
        <v>0</v>
      </c>
      <c r="E6" s="23">
        <v>0</v>
      </c>
      <c r="F6" s="23">
        <v>0</v>
      </c>
      <c r="G6" s="53"/>
    </row>
    <row r="7" spans="1:7" x14ac:dyDescent="0.3">
      <c r="A7" s="17">
        <f t="shared" si="0"/>
        <v>3</v>
      </c>
      <c r="B7" s="13" t="s">
        <v>688</v>
      </c>
      <c r="C7" s="42" t="s">
        <v>682</v>
      </c>
      <c r="D7" s="23">
        <v>0</v>
      </c>
      <c r="E7" s="23">
        <v>0</v>
      </c>
      <c r="F7" s="23">
        <v>0</v>
      </c>
      <c r="G7" s="53"/>
    </row>
    <row r="8" spans="1:7" x14ac:dyDescent="0.3">
      <c r="A8" s="17">
        <f t="shared" si="0"/>
        <v>4</v>
      </c>
      <c r="B8" s="13" t="s">
        <v>689</v>
      </c>
      <c r="C8" s="42" t="s">
        <v>683</v>
      </c>
      <c r="D8" s="23">
        <v>0</v>
      </c>
      <c r="E8" s="23">
        <v>0</v>
      </c>
      <c r="F8" s="23">
        <v>0</v>
      </c>
      <c r="G8" s="53"/>
    </row>
    <row r="9" spans="1:7" x14ac:dyDescent="0.3">
      <c r="A9" s="17">
        <f t="shared" si="0"/>
        <v>5</v>
      </c>
      <c r="B9" s="13" t="s">
        <v>690</v>
      </c>
      <c r="C9" s="42" t="s">
        <v>1232</v>
      </c>
      <c r="D9" s="23">
        <v>0</v>
      </c>
      <c r="E9" s="23">
        <v>0</v>
      </c>
      <c r="F9" s="23">
        <v>0</v>
      </c>
      <c r="G9" s="53"/>
    </row>
    <row r="10" spans="1:7" x14ac:dyDescent="0.3">
      <c r="A10" s="17">
        <f t="shared" si="0"/>
        <v>6</v>
      </c>
      <c r="B10" s="13" t="s">
        <v>1366</v>
      </c>
      <c r="C10" s="56" t="s">
        <v>1365</v>
      </c>
      <c r="D10" s="23">
        <v>0</v>
      </c>
      <c r="E10" s="23">
        <v>0</v>
      </c>
      <c r="F10" s="23">
        <v>0</v>
      </c>
      <c r="G10" s="53"/>
    </row>
    <row r="11" spans="1:7" x14ac:dyDescent="0.3">
      <c r="A11" s="17">
        <f t="shared" si="0"/>
        <v>7</v>
      </c>
      <c r="B11" s="13" t="s">
        <v>1326</v>
      </c>
      <c r="C11" s="56" t="s">
        <v>1327</v>
      </c>
      <c r="D11" s="23">
        <v>0</v>
      </c>
      <c r="E11" s="23">
        <v>0</v>
      </c>
      <c r="F11" s="23">
        <v>0</v>
      </c>
      <c r="G11" s="53"/>
    </row>
    <row r="12" spans="1:7" x14ac:dyDescent="0.3">
      <c r="A12" s="17">
        <f t="shared" si="0"/>
        <v>8</v>
      </c>
      <c r="B12" s="13" t="s">
        <v>691</v>
      </c>
      <c r="C12" s="42" t="s">
        <v>1188</v>
      </c>
      <c r="D12" s="23">
        <v>0</v>
      </c>
      <c r="E12" s="23">
        <v>0</v>
      </c>
      <c r="F12" s="23">
        <v>0</v>
      </c>
      <c r="G12" s="53"/>
    </row>
    <row r="13" spans="1:7" x14ac:dyDescent="0.3">
      <c r="A13" s="17">
        <f t="shared" si="0"/>
        <v>9</v>
      </c>
      <c r="B13" s="13" t="s">
        <v>692</v>
      </c>
      <c r="C13" s="42" t="s">
        <v>1189</v>
      </c>
      <c r="D13" s="23">
        <v>0</v>
      </c>
      <c r="E13" s="23">
        <v>0</v>
      </c>
      <c r="F13" s="23">
        <v>0</v>
      </c>
      <c r="G13" s="53"/>
    </row>
    <row r="14" spans="1:7" x14ac:dyDescent="0.3">
      <c r="A14" s="17">
        <f t="shared" si="0"/>
        <v>10</v>
      </c>
      <c r="B14" s="13" t="s">
        <v>693</v>
      </c>
      <c r="C14" s="42" t="s">
        <v>1201</v>
      </c>
      <c r="D14" s="23">
        <v>0</v>
      </c>
      <c r="E14" s="23">
        <v>0</v>
      </c>
      <c r="F14" s="23">
        <v>0</v>
      </c>
      <c r="G14" s="53"/>
    </row>
    <row r="15" spans="1:7" x14ac:dyDescent="0.3">
      <c r="A15" s="17">
        <f t="shared" si="0"/>
        <v>11</v>
      </c>
      <c r="B15" s="13" t="s">
        <v>1304</v>
      </c>
      <c r="C15" s="56" t="s">
        <v>1303</v>
      </c>
      <c r="D15" s="23">
        <v>0</v>
      </c>
      <c r="E15" s="23">
        <v>0</v>
      </c>
      <c r="F15" s="23">
        <v>0</v>
      </c>
      <c r="G15" s="53"/>
    </row>
    <row r="16" spans="1:7" x14ac:dyDescent="0.3">
      <c r="A16" s="17">
        <f t="shared" si="0"/>
        <v>12</v>
      </c>
      <c r="B16" s="13" t="s">
        <v>694</v>
      </c>
      <c r="C16" s="56" t="s">
        <v>1153</v>
      </c>
      <c r="D16" s="23">
        <v>0</v>
      </c>
      <c r="E16" s="23">
        <v>0</v>
      </c>
      <c r="F16" s="23">
        <v>0</v>
      </c>
      <c r="G16" s="53"/>
    </row>
    <row r="17" spans="1:7" x14ac:dyDescent="0.3">
      <c r="A17" s="17">
        <f t="shared" si="0"/>
        <v>13</v>
      </c>
      <c r="B17" s="13" t="s">
        <v>695</v>
      </c>
      <c r="C17" s="42" t="s">
        <v>1197</v>
      </c>
      <c r="D17" s="23">
        <v>0</v>
      </c>
      <c r="E17" s="23">
        <v>0</v>
      </c>
      <c r="F17" s="23">
        <v>0</v>
      </c>
      <c r="G17" s="53"/>
    </row>
    <row r="18" spans="1:7" x14ac:dyDescent="0.3">
      <c r="A18" s="17">
        <f t="shared" si="0"/>
        <v>14</v>
      </c>
      <c r="B18" s="13" t="s">
        <v>696</v>
      </c>
      <c r="C18" s="56" t="s">
        <v>1196</v>
      </c>
      <c r="D18" s="23">
        <v>0</v>
      </c>
      <c r="E18" s="23">
        <v>0</v>
      </c>
      <c r="F18" s="23">
        <v>0</v>
      </c>
      <c r="G18" s="53"/>
    </row>
    <row r="19" spans="1:7" x14ac:dyDescent="0.3">
      <c r="A19" s="17">
        <f t="shared" si="0"/>
        <v>15</v>
      </c>
      <c r="B19" s="13" t="s">
        <v>697</v>
      </c>
      <c r="C19" s="42" t="s">
        <v>1203</v>
      </c>
      <c r="D19" s="23">
        <v>0</v>
      </c>
      <c r="E19" s="23">
        <v>0</v>
      </c>
      <c r="F19" s="23">
        <v>0</v>
      </c>
      <c r="G19" s="53"/>
    </row>
    <row r="20" spans="1:7" x14ac:dyDescent="0.3">
      <c r="A20" s="17">
        <f t="shared" si="0"/>
        <v>16</v>
      </c>
      <c r="B20" s="13" t="s">
        <v>1323</v>
      </c>
      <c r="C20" s="56" t="s">
        <v>1322</v>
      </c>
      <c r="D20" s="23">
        <v>0</v>
      </c>
      <c r="E20" s="23">
        <v>0</v>
      </c>
      <c r="F20" s="23">
        <v>0</v>
      </c>
      <c r="G20" s="53"/>
    </row>
    <row r="21" spans="1:7" x14ac:dyDescent="0.3">
      <c r="A21" s="17">
        <f t="shared" si="0"/>
        <v>17</v>
      </c>
      <c r="B21" s="13" t="s">
        <v>698</v>
      </c>
      <c r="C21" s="42" t="s">
        <v>1202</v>
      </c>
      <c r="D21" s="23">
        <v>0</v>
      </c>
      <c r="E21" s="23">
        <v>0</v>
      </c>
      <c r="F21" s="23">
        <v>0</v>
      </c>
      <c r="G21" s="53"/>
    </row>
    <row r="22" spans="1:7" x14ac:dyDescent="0.3">
      <c r="A22" s="17">
        <f t="shared" si="0"/>
        <v>18</v>
      </c>
      <c r="B22" s="13" t="s">
        <v>1325</v>
      </c>
      <c r="C22" s="56" t="s">
        <v>1324</v>
      </c>
      <c r="D22" s="23">
        <v>0</v>
      </c>
      <c r="E22" s="23">
        <v>0</v>
      </c>
      <c r="F22" s="23">
        <v>0</v>
      </c>
      <c r="G22" s="53"/>
    </row>
    <row r="23" spans="1:7" x14ac:dyDescent="0.3">
      <c r="A23" s="17">
        <f t="shared" si="0"/>
        <v>19</v>
      </c>
      <c r="B23" s="13" t="s">
        <v>1362</v>
      </c>
      <c r="C23" s="56" t="s">
        <v>1361</v>
      </c>
      <c r="D23" s="23">
        <v>0</v>
      </c>
      <c r="E23" s="23">
        <v>0</v>
      </c>
      <c r="F23" s="23">
        <v>0</v>
      </c>
      <c r="G23" s="53"/>
    </row>
    <row r="24" spans="1:7" x14ac:dyDescent="0.3">
      <c r="A24" s="17">
        <f t="shared" si="0"/>
        <v>20</v>
      </c>
      <c r="B24" s="13" t="s">
        <v>699</v>
      </c>
      <c r="C24" s="42" t="s">
        <v>1265</v>
      </c>
      <c r="D24" s="23">
        <v>0</v>
      </c>
      <c r="E24" s="23">
        <v>0</v>
      </c>
      <c r="F24" s="23">
        <v>0</v>
      </c>
      <c r="G24" s="53"/>
    </row>
    <row r="25" spans="1:7" x14ac:dyDescent="0.3">
      <c r="A25" s="17">
        <f t="shared" si="0"/>
        <v>21</v>
      </c>
      <c r="B25" s="13" t="s">
        <v>700</v>
      </c>
      <c r="C25" s="42" t="s">
        <v>1266</v>
      </c>
      <c r="D25" s="23">
        <v>0</v>
      </c>
      <c r="E25" s="23">
        <v>0</v>
      </c>
      <c r="F25" s="23">
        <v>0</v>
      </c>
      <c r="G25" s="53"/>
    </row>
    <row r="26" spans="1:7" x14ac:dyDescent="0.3">
      <c r="A26" s="17">
        <f t="shared" si="0"/>
        <v>22</v>
      </c>
      <c r="B26" s="13" t="s">
        <v>701</v>
      </c>
      <c r="C26" s="42" t="s">
        <v>1190</v>
      </c>
      <c r="D26" s="23">
        <v>0</v>
      </c>
      <c r="E26" s="23">
        <v>0</v>
      </c>
      <c r="F26" s="23">
        <v>0</v>
      </c>
      <c r="G26" s="53"/>
    </row>
    <row r="27" spans="1:7" x14ac:dyDescent="0.3">
      <c r="A27" s="17">
        <f t="shared" si="0"/>
        <v>23</v>
      </c>
      <c r="B27" s="13" t="s">
        <v>702</v>
      </c>
      <c r="C27" s="42" t="s">
        <v>1191</v>
      </c>
      <c r="D27" s="23">
        <v>0</v>
      </c>
      <c r="E27" s="23">
        <v>0</v>
      </c>
      <c r="F27" s="23">
        <v>0</v>
      </c>
      <c r="G27" s="53"/>
    </row>
    <row r="28" spans="1:7" x14ac:dyDescent="0.3">
      <c r="A28" s="17">
        <f t="shared" si="0"/>
        <v>24</v>
      </c>
      <c r="B28" s="13" t="s">
        <v>703</v>
      </c>
      <c r="C28" s="42" t="s">
        <v>1214</v>
      </c>
      <c r="D28" s="23">
        <v>0</v>
      </c>
      <c r="E28" s="23">
        <v>0</v>
      </c>
      <c r="F28" s="23">
        <v>0</v>
      </c>
      <c r="G28" s="53"/>
    </row>
    <row r="29" spans="1:7" x14ac:dyDescent="0.3">
      <c r="A29" s="17">
        <f t="shared" si="0"/>
        <v>25</v>
      </c>
      <c r="B29" s="13" t="s">
        <v>704</v>
      </c>
      <c r="C29" s="42" t="s">
        <v>1204</v>
      </c>
      <c r="D29" s="23">
        <v>0</v>
      </c>
      <c r="E29" s="23">
        <v>0</v>
      </c>
      <c r="F29" s="23">
        <v>0</v>
      </c>
      <c r="G29" s="53"/>
    </row>
    <row r="30" spans="1:7" x14ac:dyDescent="0.3">
      <c r="A30" s="17">
        <f t="shared" si="0"/>
        <v>26</v>
      </c>
      <c r="B30" s="13" t="s">
        <v>705</v>
      </c>
      <c r="C30" s="42" t="s">
        <v>1205</v>
      </c>
      <c r="D30" s="23">
        <v>0</v>
      </c>
      <c r="E30" s="23">
        <v>0</v>
      </c>
      <c r="F30" s="23">
        <v>0</v>
      </c>
      <c r="G30" s="53"/>
    </row>
    <row r="31" spans="1:7" x14ac:dyDescent="0.3">
      <c r="A31" s="17">
        <f t="shared" si="0"/>
        <v>27</v>
      </c>
      <c r="B31" s="13" t="s">
        <v>706</v>
      </c>
      <c r="C31" s="42" t="s">
        <v>1184</v>
      </c>
      <c r="D31" s="23">
        <v>0</v>
      </c>
      <c r="E31" s="23">
        <v>0</v>
      </c>
      <c r="F31" s="23">
        <v>0</v>
      </c>
      <c r="G31" s="53"/>
    </row>
    <row r="32" spans="1:7" x14ac:dyDescent="0.3">
      <c r="A32" s="17">
        <f t="shared" si="0"/>
        <v>28</v>
      </c>
      <c r="B32" s="13" t="s">
        <v>1364</v>
      </c>
      <c r="C32" s="56" t="s">
        <v>1363</v>
      </c>
      <c r="D32" s="23">
        <v>0</v>
      </c>
      <c r="E32" s="23">
        <v>0</v>
      </c>
      <c r="F32" s="23">
        <v>0</v>
      </c>
      <c r="G32" s="53"/>
    </row>
    <row r="33" spans="1:7" x14ac:dyDescent="0.3">
      <c r="A33" s="17">
        <f t="shared" si="0"/>
        <v>29</v>
      </c>
      <c r="B33" s="13" t="s">
        <v>707</v>
      </c>
      <c r="C33" s="42" t="s">
        <v>684</v>
      </c>
      <c r="D33" s="23">
        <v>0</v>
      </c>
      <c r="E33" s="23">
        <v>0</v>
      </c>
      <c r="F33" s="23">
        <v>0</v>
      </c>
      <c r="G33" s="53"/>
    </row>
    <row r="34" spans="1:7" x14ac:dyDescent="0.3">
      <c r="A34" s="17">
        <f t="shared" si="0"/>
        <v>30</v>
      </c>
      <c r="B34" s="13" t="s">
        <v>708</v>
      </c>
      <c r="C34" s="42" t="s">
        <v>1206</v>
      </c>
      <c r="D34" s="23">
        <v>0</v>
      </c>
      <c r="E34" s="23">
        <v>0</v>
      </c>
      <c r="F34" s="23">
        <v>0</v>
      </c>
      <c r="G34" s="53"/>
    </row>
    <row r="35" spans="1:7" x14ac:dyDescent="0.3">
      <c r="A35" s="17">
        <f t="shared" si="0"/>
        <v>31</v>
      </c>
      <c r="B35" s="13" t="s">
        <v>709</v>
      </c>
      <c r="C35" s="42" t="s">
        <v>1198</v>
      </c>
      <c r="D35" s="23">
        <v>0</v>
      </c>
      <c r="E35" s="23">
        <v>0</v>
      </c>
      <c r="F35" s="23">
        <v>0</v>
      </c>
      <c r="G35" s="53"/>
    </row>
    <row r="36" spans="1:7" x14ac:dyDescent="0.3">
      <c r="A36" s="17">
        <f t="shared" si="0"/>
        <v>32</v>
      </c>
      <c r="B36" s="13" t="s">
        <v>710</v>
      </c>
      <c r="C36" s="42" t="s">
        <v>1199</v>
      </c>
      <c r="D36" s="23">
        <v>0</v>
      </c>
      <c r="E36" s="23">
        <v>0</v>
      </c>
      <c r="F36" s="23">
        <v>0</v>
      </c>
      <c r="G36" s="53"/>
    </row>
    <row r="37" spans="1:7" x14ac:dyDescent="0.3">
      <c r="A37" s="17">
        <f t="shared" ref="A37:A68" si="1">ROW(A37)-4</f>
        <v>33</v>
      </c>
      <c r="B37" s="13" t="s">
        <v>711</v>
      </c>
      <c r="C37" s="42" t="s">
        <v>1200</v>
      </c>
      <c r="D37" s="23">
        <v>0</v>
      </c>
      <c r="E37" s="23">
        <v>0</v>
      </c>
      <c r="F37" s="23">
        <v>0</v>
      </c>
      <c r="G37" s="53"/>
    </row>
    <row r="38" spans="1:7" x14ac:dyDescent="0.3">
      <c r="A38" s="17">
        <f t="shared" si="1"/>
        <v>34</v>
      </c>
      <c r="B38" s="13" t="s">
        <v>712</v>
      </c>
      <c r="C38" s="42" t="s">
        <v>1207</v>
      </c>
      <c r="D38" s="23">
        <v>0</v>
      </c>
      <c r="E38" s="23">
        <v>0</v>
      </c>
      <c r="F38" s="23">
        <v>0</v>
      </c>
      <c r="G38" s="53"/>
    </row>
    <row r="39" spans="1:7" x14ac:dyDescent="0.3">
      <c r="A39" s="17">
        <f t="shared" si="1"/>
        <v>35</v>
      </c>
      <c r="B39" s="13" t="s">
        <v>1377</v>
      </c>
      <c r="C39" s="56" t="s">
        <v>1378</v>
      </c>
      <c r="D39" s="23">
        <v>0</v>
      </c>
      <c r="E39" s="23">
        <v>0</v>
      </c>
      <c r="F39" s="23">
        <v>0</v>
      </c>
      <c r="G39" s="53"/>
    </row>
    <row r="40" spans="1:7" x14ac:dyDescent="0.3">
      <c r="A40" s="17">
        <f t="shared" si="1"/>
        <v>36</v>
      </c>
      <c r="B40" s="13" t="s">
        <v>713</v>
      </c>
      <c r="C40" s="42" t="s">
        <v>1192</v>
      </c>
      <c r="D40" s="23">
        <v>0</v>
      </c>
      <c r="E40" s="23">
        <v>0</v>
      </c>
      <c r="F40" s="23">
        <v>0</v>
      </c>
      <c r="G40" s="53"/>
    </row>
    <row r="41" spans="1:7" x14ac:dyDescent="0.3">
      <c r="A41" s="17">
        <f t="shared" si="1"/>
        <v>37</v>
      </c>
      <c r="B41" s="13" t="s">
        <v>714</v>
      </c>
      <c r="C41" s="42" t="s">
        <v>1308</v>
      </c>
      <c r="D41" s="23">
        <v>0</v>
      </c>
      <c r="E41" s="23">
        <v>0</v>
      </c>
      <c r="F41" s="23">
        <v>0</v>
      </c>
      <c r="G41" s="53"/>
    </row>
    <row r="42" spans="1:7" x14ac:dyDescent="0.3">
      <c r="A42" s="17">
        <f t="shared" si="1"/>
        <v>38</v>
      </c>
      <c r="B42" s="13" t="s">
        <v>740</v>
      </c>
      <c r="C42" s="42" t="s">
        <v>1310</v>
      </c>
      <c r="D42" s="23">
        <v>0</v>
      </c>
      <c r="E42" s="23">
        <v>0</v>
      </c>
      <c r="F42" s="23">
        <v>0</v>
      </c>
      <c r="G42" s="53"/>
    </row>
    <row r="43" spans="1:7" x14ac:dyDescent="0.3">
      <c r="A43" s="17">
        <f t="shared" si="1"/>
        <v>39</v>
      </c>
      <c r="B43" s="13" t="s">
        <v>715</v>
      </c>
      <c r="C43" s="42" t="s">
        <v>1307</v>
      </c>
      <c r="D43" s="23">
        <v>0</v>
      </c>
      <c r="E43" s="23">
        <v>0</v>
      </c>
      <c r="F43" s="23">
        <v>0</v>
      </c>
      <c r="G43" s="53"/>
    </row>
    <row r="44" spans="1:7" x14ac:dyDescent="0.3">
      <c r="A44" s="17">
        <f t="shared" si="1"/>
        <v>40</v>
      </c>
      <c r="B44" s="13" t="s">
        <v>716</v>
      </c>
      <c r="C44" s="42" t="s">
        <v>1309</v>
      </c>
      <c r="D44" s="23">
        <v>0</v>
      </c>
      <c r="E44" s="23">
        <v>0</v>
      </c>
      <c r="F44" s="23">
        <v>0</v>
      </c>
      <c r="G44" s="53"/>
    </row>
    <row r="45" spans="1:7" x14ac:dyDescent="0.3">
      <c r="A45" s="17">
        <f t="shared" si="1"/>
        <v>41</v>
      </c>
      <c r="B45" s="13" t="s">
        <v>717</v>
      </c>
      <c r="C45" s="56" t="s">
        <v>1187</v>
      </c>
      <c r="D45" s="23">
        <v>0</v>
      </c>
      <c r="E45" s="23">
        <v>0</v>
      </c>
      <c r="F45" s="23">
        <v>0</v>
      </c>
      <c r="G45" s="53"/>
    </row>
    <row r="46" spans="1:7" x14ac:dyDescent="0.3">
      <c r="A46" s="17">
        <f t="shared" si="1"/>
        <v>42</v>
      </c>
      <c r="B46" s="13" t="s">
        <v>718</v>
      </c>
      <c r="C46" s="42" t="s">
        <v>1208</v>
      </c>
      <c r="D46" s="23">
        <v>0</v>
      </c>
      <c r="E46" s="23">
        <v>0</v>
      </c>
      <c r="F46" s="23">
        <v>0</v>
      </c>
      <c r="G46" s="53"/>
    </row>
    <row r="47" spans="1:7" x14ac:dyDescent="0.3">
      <c r="A47" s="17">
        <f t="shared" si="1"/>
        <v>43</v>
      </c>
      <c r="B47" s="13" t="s">
        <v>719</v>
      </c>
      <c r="C47" s="56" t="s">
        <v>1267</v>
      </c>
      <c r="D47" s="23">
        <v>0</v>
      </c>
      <c r="E47" s="23">
        <v>0</v>
      </c>
      <c r="F47" s="23">
        <v>0</v>
      </c>
      <c r="G47" s="53"/>
    </row>
    <row r="48" spans="1:7" x14ac:dyDescent="0.3">
      <c r="A48" s="17">
        <f t="shared" si="1"/>
        <v>44</v>
      </c>
      <c r="B48" s="13" t="s">
        <v>720</v>
      </c>
      <c r="C48" s="42" t="s">
        <v>1209</v>
      </c>
      <c r="D48" s="23">
        <v>0</v>
      </c>
      <c r="E48" s="23">
        <v>0</v>
      </c>
      <c r="F48" s="23">
        <v>0</v>
      </c>
      <c r="G48" s="53"/>
    </row>
    <row r="49" spans="1:7" x14ac:dyDescent="0.3">
      <c r="A49" s="17">
        <f t="shared" si="1"/>
        <v>45</v>
      </c>
      <c r="B49" s="13" t="s">
        <v>1268</v>
      </c>
      <c r="C49" s="42" t="s">
        <v>1210</v>
      </c>
      <c r="D49" s="23">
        <v>0</v>
      </c>
      <c r="E49" s="23">
        <v>0</v>
      </c>
      <c r="F49" s="23">
        <v>0</v>
      </c>
      <c r="G49" s="53"/>
    </row>
    <row r="50" spans="1:7" x14ac:dyDescent="0.3">
      <c r="A50" s="17">
        <f t="shared" si="1"/>
        <v>46</v>
      </c>
      <c r="B50" s="13" t="s">
        <v>1368</v>
      </c>
      <c r="C50" s="56" t="s">
        <v>1367</v>
      </c>
      <c r="D50" s="23">
        <v>0</v>
      </c>
      <c r="E50" s="23">
        <v>0</v>
      </c>
      <c r="F50" s="23">
        <v>0</v>
      </c>
      <c r="G50" s="53"/>
    </row>
    <row r="51" spans="1:7" x14ac:dyDescent="0.3">
      <c r="A51" s="17">
        <f t="shared" si="1"/>
        <v>47</v>
      </c>
      <c r="B51" s="13" t="s">
        <v>721</v>
      </c>
      <c r="C51" s="42" t="s">
        <v>1211</v>
      </c>
      <c r="D51" s="23">
        <v>0</v>
      </c>
      <c r="E51" s="23">
        <v>0</v>
      </c>
      <c r="F51" s="23">
        <v>0</v>
      </c>
      <c r="G51" s="53"/>
    </row>
    <row r="52" spans="1:7" x14ac:dyDescent="0.3">
      <c r="A52" s="17">
        <f t="shared" si="1"/>
        <v>48</v>
      </c>
      <c r="B52" s="13" t="s">
        <v>722</v>
      </c>
      <c r="C52" s="42" t="s">
        <v>1149</v>
      </c>
      <c r="D52" s="23">
        <v>0</v>
      </c>
      <c r="E52" s="23">
        <v>0</v>
      </c>
      <c r="F52" s="23">
        <v>0</v>
      </c>
      <c r="G52" s="53"/>
    </row>
    <row r="53" spans="1:7" x14ac:dyDescent="0.3">
      <c r="A53" s="17">
        <f t="shared" si="1"/>
        <v>49</v>
      </c>
      <c r="B53" s="13" t="s">
        <v>723</v>
      </c>
      <c r="C53" s="42" t="s">
        <v>1212</v>
      </c>
      <c r="D53" s="23">
        <v>0</v>
      </c>
      <c r="E53" s="23">
        <v>0</v>
      </c>
      <c r="F53" s="23">
        <v>0</v>
      </c>
      <c r="G53" s="53"/>
    </row>
    <row r="54" spans="1:7" x14ac:dyDescent="0.3">
      <c r="A54" s="17">
        <f t="shared" si="1"/>
        <v>50</v>
      </c>
      <c r="B54" s="13" t="s">
        <v>724</v>
      </c>
      <c r="C54" s="42" t="s">
        <v>1181</v>
      </c>
      <c r="D54" s="23">
        <v>0</v>
      </c>
      <c r="E54" s="23">
        <v>0</v>
      </c>
      <c r="F54" s="23">
        <v>0</v>
      </c>
      <c r="G54" s="53"/>
    </row>
    <row r="55" spans="1:7" x14ac:dyDescent="0.3">
      <c r="A55" s="17">
        <f t="shared" si="1"/>
        <v>51</v>
      </c>
      <c r="B55" s="13" t="s">
        <v>725</v>
      </c>
      <c r="C55" s="56" t="s">
        <v>1180</v>
      </c>
      <c r="D55" s="23">
        <v>0</v>
      </c>
      <c r="E55" s="23">
        <v>0</v>
      </c>
      <c r="F55" s="23">
        <v>0</v>
      </c>
      <c r="G55" s="53"/>
    </row>
    <row r="56" spans="1:7" x14ac:dyDescent="0.3">
      <c r="A56" s="17">
        <f t="shared" si="1"/>
        <v>52</v>
      </c>
      <c r="B56" s="13" t="s">
        <v>726</v>
      </c>
      <c r="C56" s="42" t="s">
        <v>685</v>
      </c>
      <c r="D56" s="23">
        <v>0</v>
      </c>
      <c r="E56" s="23">
        <v>0</v>
      </c>
      <c r="F56" s="23">
        <v>0</v>
      </c>
      <c r="G56" s="53"/>
    </row>
    <row r="57" spans="1:7" x14ac:dyDescent="0.3">
      <c r="A57" s="17">
        <f t="shared" si="1"/>
        <v>53</v>
      </c>
      <c r="B57" s="13" t="s">
        <v>727</v>
      </c>
      <c r="C57" s="42" t="s">
        <v>1195</v>
      </c>
      <c r="D57" s="23">
        <v>0</v>
      </c>
      <c r="E57" s="23">
        <v>0</v>
      </c>
      <c r="F57" s="23">
        <v>0</v>
      </c>
      <c r="G57" s="53"/>
    </row>
    <row r="58" spans="1:7" x14ac:dyDescent="0.3">
      <c r="A58" s="17">
        <f t="shared" si="1"/>
        <v>54</v>
      </c>
      <c r="B58" s="13" t="s">
        <v>728</v>
      </c>
      <c r="C58" s="42" t="s">
        <v>1213</v>
      </c>
      <c r="D58" s="23">
        <v>0</v>
      </c>
      <c r="E58" s="23">
        <v>0</v>
      </c>
      <c r="F58" s="23">
        <v>0</v>
      </c>
      <c r="G58" s="53"/>
    </row>
    <row r="59" spans="1:7" x14ac:dyDescent="0.3">
      <c r="A59" s="17">
        <f t="shared" si="1"/>
        <v>55</v>
      </c>
      <c r="B59" s="13" t="s">
        <v>729</v>
      </c>
      <c r="C59" s="56" t="s">
        <v>1141</v>
      </c>
      <c r="D59" s="23">
        <v>0</v>
      </c>
      <c r="E59" s="23">
        <v>0</v>
      </c>
      <c r="F59" s="23">
        <v>0</v>
      </c>
      <c r="G59" s="53"/>
    </row>
    <row r="60" spans="1:7" x14ac:dyDescent="0.3">
      <c r="A60" s="17">
        <f t="shared" si="1"/>
        <v>56</v>
      </c>
      <c r="B60" s="13" t="s">
        <v>730</v>
      </c>
      <c r="C60" s="42" t="s">
        <v>1148</v>
      </c>
      <c r="D60" s="23">
        <v>0</v>
      </c>
      <c r="E60" s="23">
        <v>0</v>
      </c>
      <c r="F60" s="23">
        <v>0</v>
      </c>
      <c r="G60" s="53"/>
    </row>
    <row r="61" spans="1:7" x14ac:dyDescent="0.3">
      <c r="A61" s="17">
        <f t="shared" si="1"/>
        <v>57</v>
      </c>
      <c r="B61" s="13" t="s">
        <v>731</v>
      </c>
      <c r="C61" s="42" t="s">
        <v>1156</v>
      </c>
      <c r="D61" s="23">
        <v>0</v>
      </c>
      <c r="E61" s="23">
        <v>0</v>
      </c>
      <c r="F61" s="23">
        <v>0</v>
      </c>
      <c r="G61" s="53"/>
    </row>
    <row r="62" spans="1:7" x14ac:dyDescent="0.3">
      <c r="A62" s="17">
        <f t="shared" si="1"/>
        <v>58</v>
      </c>
      <c r="B62" s="13" t="s">
        <v>732</v>
      </c>
      <c r="C62" s="42" t="s">
        <v>1161</v>
      </c>
      <c r="D62" s="23">
        <v>0</v>
      </c>
      <c r="E62" s="23">
        <v>0</v>
      </c>
      <c r="F62" s="23">
        <v>0</v>
      </c>
      <c r="G62" s="53"/>
    </row>
    <row r="63" spans="1:7" x14ac:dyDescent="0.3">
      <c r="A63" s="17">
        <f t="shared" si="1"/>
        <v>59</v>
      </c>
      <c r="B63" s="13" t="s">
        <v>733</v>
      </c>
      <c r="C63" s="42" t="s">
        <v>1162</v>
      </c>
      <c r="D63" s="23">
        <v>0</v>
      </c>
      <c r="E63" s="23">
        <v>0</v>
      </c>
      <c r="F63" s="23">
        <v>0</v>
      </c>
      <c r="G63" s="53"/>
    </row>
    <row r="64" spans="1:7" x14ac:dyDescent="0.3">
      <c r="A64" s="17">
        <f t="shared" si="1"/>
        <v>60</v>
      </c>
      <c r="B64" s="13" t="s">
        <v>734</v>
      </c>
      <c r="C64" s="42" t="s">
        <v>1163</v>
      </c>
      <c r="D64" s="23">
        <v>0</v>
      </c>
      <c r="E64" s="23">
        <v>0</v>
      </c>
      <c r="F64" s="23">
        <v>0</v>
      </c>
      <c r="G64" s="53"/>
    </row>
    <row r="65" spans="1:7" x14ac:dyDescent="0.3">
      <c r="A65" s="17">
        <f t="shared" si="1"/>
        <v>61</v>
      </c>
      <c r="B65" s="13" t="s">
        <v>735</v>
      </c>
      <c r="C65" s="42" t="s">
        <v>1164</v>
      </c>
      <c r="D65" s="23">
        <v>0</v>
      </c>
      <c r="E65" s="23">
        <v>0</v>
      </c>
      <c r="F65" s="23">
        <v>0</v>
      </c>
      <c r="G65" s="53"/>
    </row>
    <row r="66" spans="1:7" x14ac:dyDescent="0.3">
      <c r="A66" s="17">
        <f t="shared" si="1"/>
        <v>62</v>
      </c>
      <c r="B66" s="13" t="s">
        <v>736</v>
      </c>
      <c r="C66" s="42" t="s">
        <v>1157</v>
      </c>
      <c r="D66" s="23">
        <v>0</v>
      </c>
      <c r="E66" s="23">
        <v>0</v>
      </c>
      <c r="F66" s="23">
        <v>0</v>
      </c>
      <c r="G66" s="53"/>
    </row>
    <row r="67" spans="1:7" x14ac:dyDescent="0.3">
      <c r="A67" s="17">
        <f t="shared" si="1"/>
        <v>63</v>
      </c>
      <c r="B67" s="13" t="s">
        <v>737</v>
      </c>
      <c r="C67" s="42" t="s">
        <v>1165</v>
      </c>
      <c r="D67" s="23">
        <v>0</v>
      </c>
      <c r="E67" s="23">
        <v>0</v>
      </c>
      <c r="F67" s="23">
        <v>0</v>
      </c>
      <c r="G67" s="53"/>
    </row>
    <row r="68" spans="1:7" x14ac:dyDescent="0.3">
      <c r="A68" s="17">
        <f t="shared" si="1"/>
        <v>64</v>
      </c>
      <c r="B68" s="13" t="s">
        <v>738</v>
      </c>
      <c r="C68" s="42" t="s">
        <v>1166</v>
      </c>
      <c r="D68" s="23">
        <v>0</v>
      </c>
      <c r="E68" s="23">
        <v>0</v>
      </c>
      <c r="F68" s="23">
        <v>0</v>
      </c>
      <c r="G68" s="53"/>
    </row>
    <row r="69" spans="1:7" x14ac:dyDescent="0.3">
      <c r="A69" s="17">
        <f t="shared" ref="A69:A92" si="2">ROW(A69)-4</f>
        <v>65</v>
      </c>
      <c r="B69" s="13" t="s">
        <v>739</v>
      </c>
      <c r="C69" s="42" t="s">
        <v>1167</v>
      </c>
      <c r="D69" s="23">
        <v>0</v>
      </c>
      <c r="E69" s="23">
        <v>0</v>
      </c>
      <c r="F69" s="23">
        <v>0</v>
      </c>
      <c r="G69" s="53"/>
    </row>
    <row r="70" spans="1:7" x14ac:dyDescent="0.3">
      <c r="A70" s="17">
        <f t="shared" si="2"/>
        <v>66</v>
      </c>
      <c r="B70" s="13" t="s">
        <v>741</v>
      </c>
      <c r="C70" s="42" t="s">
        <v>1158</v>
      </c>
      <c r="D70" s="23">
        <v>0</v>
      </c>
      <c r="E70" s="23">
        <v>0</v>
      </c>
      <c r="F70" s="23">
        <v>0</v>
      </c>
      <c r="G70" s="53"/>
    </row>
    <row r="71" spans="1:7" x14ac:dyDescent="0.3">
      <c r="A71" s="17">
        <f t="shared" si="2"/>
        <v>67</v>
      </c>
      <c r="B71" s="13" t="s">
        <v>742</v>
      </c>
      <c r="C71" s="42" t="s">
        <v>1159</v>
      </c>
      <c r="D71" s="23">
        <v>0</v>
      </c>
      <c r="E71" s="23">
        <v>0</v>
      </c>
      <c r="F71" s="23">
        <v>0</v>
      </c>
      <c r="G71" s="53"/>
    </row>
    <row r="72" spans="1:7" x14ac:dyDescent="0.3">
      <c r="A72" s="17">
        <f t="shared" si="2"/>
        <v>68</v>
      </c>
      <c r="B72" s="13" t="s">
        <v>743</v>
      </c>
      <c r="C72" s="42" t="s">
        <v>1160</v>
      </c>
      <c r="D72" s="23">
        <v>0</v>
      </c>
      <c r="E72" s="23">
        <v>0</v>
      </c>
      <c r="F72" s="23">
        <v>0</v>
      </c>
      <c r="G72" s="53"/>
    </row>
    <row r="73" spans="1:7" x14ac:dyDescent="0.3">
      <c r="A73" s="17">
        <f t="shared" si="2"/>
        <v>69</v>
      </c>
      <c r="B73" s="13" t="s">
        <v>744</v>
      </c>
      <c r="C73" s="43" t="s">
        <v>1193</v>
      </c>
      <c r="D73" s="23">
        <v>0</v>
      </c>
      <c r="E73" s="23">
        <v>0</v>
      </c>
      <c r="F73" s="23">
        <v>0</v>
      </c>
      <c r="G73" s="53"/>
    </row>
    <row r="74" spans="1:7" x14ac:dyDescent="0.3">
      <c r="A74" s="17">
        <f t="shared" si="2"/>
        <v>70</v>
      </c>
      <c r="B74" s="13" t="s">
        <v>745</v>
      </c>
      <c r="C74" s="42" t="s">
        <v>1194</v>
      </c>
      <c r="D74" s="23">
        <v>0</v>
      </c>
      <c r="E74" s="23">
        <v>0</v>
      </c>
      <c r="F74" s="23">
        <v>0</v>
      </c>
      <c r="G74" s="53"/>
    </row>
    <row r="75" spans="1:7" x14ac:dyDescent="0.3">
      <c r="A75" s="27">
        <f t="shared" si="2"/>
        <v>71</v>
      </c>
      <c r="B75" s="13" t="s">
        <v>746</v>
      </c>
      <c r="C75" s="57" t="s">
        <v>1168</v>
      </c>
      <c r="D75" s="23">
        <v>0</v>
      </c>
      <c r="E75" s="23">
        <v>0</v>
      </c>
      <c r="F75" s="23">
        <v>0</v>
      </c>
      <c r="G75" s="53"/>
    </row>
    <row r="76" spans="1:7" x14ac:dyDescent="0.3">
      <c r="A76" s="27">
        <f t="shared" si="2"/>
        <v>72</v>
      </c>
      <c r="B76" s="13" t="s">
        <v>747</v>
      </c>
      <c r="C76" s="57" t="s">
        <v>1169</v>
      </c>
      <c r="D76" s="23">
        <v>0</v>
      </c>
      <c r="E76" s="23">
        <v>0</v>
      </c>
      <c r="F76" s="23">
        <v>0</v>
      </c>
      <c r="G76" s="53"/>
    </row>
    <row r="77" spans="1:7" x14ac:dyDescent="0.3">
      <c r="A77" s="27">
        <f t="shared" si="2"/>
        <v>73</v>
      </c>
      <c r="B77" s="13" t="s">
        <v>748</v>
      </c>
      <c r="C77" s="57" t="s">
        <v>1185</v>
      </c>
      <c r="D77" s="23">
        <v>0</v>
      </c>
      <c r="E77" s="23">
        <v>0</v>
      </c>
      <c r="F77" s="23">
        <v>0</v>
      </c>
      <c r="G77" s="53"/>
    </row>
    <row r="78" spans="1:7" x14ac:dyDescent="0.3">
      <c r="A78" s="27">
        <f t="shared" si="2"/>
        <v>74</v>
      </c>
      <c r="B78" s="13" t="s">
        <v>749</v>
      </c>
      <c r="C78" s="161" t="s">
        <v>1263</v>
      </c>
      <c r="D78" s="23">
        <v>0</v>
      </c>
      <c r="E78" s="23">
        <v>0</v>
      </c>
      <c r="F78" s="23">
        <v>0</v>
      </c>
      <c r="G78" s="53"/>
    </row>
    <row r="79" spans="1:7" x14ac:dyDescent="0.3">
      <c r="A79" s="27">
        <f t="shared" si="2"/>
        <v>75</v>
      </c>
      <c r="B79" s="13" t="s">
        <v>750</v>
      </c>
      <c r="C79" s="57" t="s">
        <v>1186</v>
      </c>
      <c r="D79" s="23">
        <v>0</v>
      </c>
      <c r="E79" s="23">
        <v>0</v>
      </c>
      <c r="F79" s="23">
        <v>0</v>
      </c>
      <c r="G79" s="53"/>
    </row>
    <row r="80" spans="1:7" x14ac:dyDescent="0.3">
      <c r="A80" s="27">
        <f t="shared" si="2"/>
        <v>76</v>
      </c>
      <c r="B80" s="13" t="s">
        <v>751</v>
      </c>
      <c r="C80" s="57" t="s">
        <v>1171</v>
      </c>
      <c r="D80" s="23">
        <v>0</v>
      </c>
      <c r="E80" s="23">
        <v>0</v>
      </c>
      <c r="F80" s="23">
        <v>0</v>
      </c>
      <c r="G80" s="53"/>
    </row>
    <row r="81" spans="1:7" x14ac:dyDescent="0.3">
      <c r="A81" s="27">
        <f t="shared" si="2"/>
        <v>77</v>
      </c>
      <c r="B81" s="13" t="s">
        <v>752</v>
      </c>
      <c r="C81" s="57" t="s">
        <v>1172</v>
      </c>
      <c r="D81" s="23">
        <v>0</v>
      </c>
      <c r="E81" s="23">
        <v>0</v>
      </c>
      <c r="F81" s="23">
        <v>0</v>
      </c>
      <c r="G81" s="53"/>
    </row>
    <row r="82" spans="1:7" x14ac:dyDescent="0.3">
      <c r="A82" s="27">
        <f t="shared" si="2"/>
        <v>78</v>
      </c>
      <c r="B82" s="13" t="s">
        <v>753</v>
      </c>
      <c r="C82" s="161" t="s">
        <v>1174</v>
      </c>
      <c r="D82" s="23">
        <v>0</v>
      </c>
      <c r="E82" s="23">
        <v>0</v>
      </c>
      <c r="F82" s="23">
        <v>0</v>
      </c>
      <c r="G82" s="53"/>
    </row>
    <row r="83" spans="1:7" x14ac:dyDescent="0.3">
      <c r="A83" s="27">
        <f t="shared" si="2"/>
        <v>79</v>
      </c>
      <c r="B83" s="13" t="s">
        <v>754</v>
      </c>
      <c r="C83" s="161" t="s">
        <v>1173</v>
      </c>
      <c r="D83" s="23">
        <v>0</v>
      </c>
      <c r="E83" s="23">
        <v>0</v>
      </c>
      <c r="F83" s="23">
        <v>0</v>
      </c>
      <c r="G83" s="53"/>
    </row>
    <row r="84" spans="1:7" x14ac:dyDescent="0.3">
      <c r="A84" s="27">
        <f t="shared" si="2"/>
        <v>80</v>
      </c>
      <c r="B84" s="14" t="s">
        <v>755</v>
      </c>
      <c r="C84" s="57" t="s">
        <v>1177</v>
      </c>
      <c r="D84" s="23">
        <v>0</v>
      </c>
      <c r="E84" s="23">
        <v>0</v>
      </c>
      <c r="F84" s="23">
        <v>0</v>
      </c>
      <c r="G84" s="53"/>
    </row>
    <row r="85" spans="1:7" x14ac:dyDescent="0.3">
      <c r="A85" s="27">
        <f t="shared" si="2"/>
        <v>81</v>
      </c>
      <c r="B85" s="14" t="s">
        <v>756</v>
      </c>
      <c r="C85" s="57" t="s">
        <v>1170</v>
      </c>
      <c r="D85" s="23">
        <v>0</v>
      </c>
      <c r="E85" s="23">
        <v>0</v>
      </c>
      <c r="F85" s="23">
        <v>0</v>
      </c>
      <c r="G85" s="53"/>
    </row>
    <row r="86" spans="1:7" x14ac:dyDescent="0.3">
      <c r="A86" s="27">
        <f t="shared" si="2"/>
        <v>82</v>
      </c>
      <c r="B86" s="14" t="s">
        <v>1142</v>
      </c>
      <c r="C86" s="57" t="s">
        <v>1321</v>
      </c>
      <c r="D86" s="23">
        <v>0</v>
      </c>
      <c r="E86" s="23">
        <v>0</v>
      </c>
      <c r="F86" s="23">
        <v>0</v>
      </c>
      <c r="G86" s="53"/>
    </row>
    <row r="87" spans="1:7" x14ac:dyDescent="0.3">
      <c r="A87" s="27">
        <f t="shared" si="2"/>
        <v>83</v>
      </c>
      <c r="B87" s="14" t="s">
        <v>1175</v>
      </c>
      <c r="C87" s="57" t="s">
        <v>1428</v>
      </c>
      <c r="D87" s="23">
        <v>0</v>
      </c>
      <c r="E87" s="23">
        <v>0</v>
      </c>
      <c r="F87" s="23">
        <v>0</v>
      </c>
      <c r="G87" s="53"/>
    </row>
    <row r="88" spans="1:7" x14ac:dyDescent="0.3">
      <c r="A88" s="27">
        <f t="shared" si="2"/>
        <v>84</v>
      </c>
      <c r="B88" s="14" t="s">
        <v>1154</v>
      </c>
      <c r="C88" s="57" t="s">
        <v>1426</v>
      </c>
      <c r="D88" s="23">
        <v>0</v>
      </c>
      <c r="E88" s="23">
        <v>0</v>
      </c>
      <c r="F88" s="23">
        <v>0</v>
      </c>
      <c r="G88" s="53"/>
    </row>
    <row r="89" spans="1:7" x14ac:dyDescent="0.3">
      <c r="A89" s="27">
        <f t="shared" si="2"/>
        <v>85</v>
      </c>
      <c r="B89" s="14" t="s">
        <v>1155</v>
      </c>
      <c r="C89" s="57" t="s">
        <v>1427</v>
      </c>
      <c r="D89" s="23">
        <v>0</v>
      </c>
      <c r="E89" s="23">
        <v>0</v>
      </c>
      <c r="F89" s="23">
        <v>0</v>
      </c>
      <c r="G89" s="53"/>
    </row>
    <row r="90" spans="1:7" x14ac:dyDescent="0.3">
      <c r="A90" s="27">
        <f t="shared" si="2"/>
        <v>86</v>
      </c>
      <c r="B90" s="14" t="s">
        <v>1150</v>
      </c>
      <c r="C90" s="57" t="s">
        <v>1425</v>
      </c>
      <c r="D90" s="23">
        <v>0</v>
      </c>
      <c r="E90" s="23">
        <v>0</v>
      </c>
      <c r="F90" s="23">
        <v>0</v>
      </c>
      <c r="G90" s="53"/>
    </row>
    <row r="91" spans="1:7" x14ac:dyDescent="0.3">
      <c r="A91" s="27">
        <f t="shared" si="2"/>
        <v>87</v>
      </c>
      <c r="B91" s="14" t="s">
        <v>1176</v>
      </c>
      <c r="C91" s="57" t="s">
        <v>1178</v>
      </c>
      <c r="D91" s="23">
        <v>0</v>
      </c>
      <c r="E91" s="23">
        <v>0</v>
      </c>
      <c r="F91" s="23">
        <v>0</v>
      </c>
      <c r="G91" s="53"/>
    </row>
    <row r="92" spans="1:7" x14ac:dyDescent="0.3">
      <c r="A92" s="27">
        <f t="shared" si="2"/>
        <v>88</v>
      </c>
      <c r="B92" s="14" t="s">
        <v>1264</v>
      </c>
      <c r="C92" s="57" t="s">
        <v>1179</v>
      </c>
      <c r="D92" s="23">
        <v>0</v>
      </c>
      <c r="E92" s="23">
        <v>0</v>
      </c>
      <c r="F92" s="23">
        <v>0</v>
      </c>
      <c r="G92" s="53"/>
    </row>
  </sheetData>
  <mergeCells count="1">
    <mergeCell ref="A2:F2"/>
  </mergeCells>
  <phoneticPr fontId="6" type="noConversion"/>
  <conditionalFormatting sqref="C1:C1048576">
    <cfRule type="duplicateValues" dxfId="44" priority="2"/>
  </conditionalFormatting>
  <conditionalFormatting sqref="B1:B1048576">
    <cfRule type="duplicateValues" dxfId="43" priority="1"/>
  </conditionalFormatting>
  <pageMargins left="0.25" right="0.25" top="0.39" bottom="0.33" header="0.3" footer="0.3"/>
  <pageSetup paperSize="9" scale="67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A14E7-8E75-4E50-B637-33E7CA80528F}">
  <sheetPr codeName="Hoja7">
    <tabColor rgb="FF00B0F0"/>
    <pageSetUpPr fitToPage="1"/>
  </sheetPr>
  <dimension ref="A2:G76"/>
  <sheetViews>
    <sheetView topLeftCell="A46" zoomScaleNormal="100" workbookViewId="0">
      <selection activeCell="C11" sqref="C11"/>
    </sheetView>
  </sheetViews>
  <sheetFormatPr baseColWidth="10" defaultColWidth="11.44140625" defaultRowHeight="14.4" x14ac:dyDescent="0.3"/>
  <cols>
    <col min="1" max="1" width="5.5546875" style="9" customWidth="1"/>
    <col min="2" max="2" width="11.44140625" style="9"/>
    <col min="3" max="3" width="60.88671875" style="35" bestFit="1" customWidth="1"/>
    <col min="4" max="6" width="18.6640625" style="9" customWidth="1"/>
    <col min="7" max="7" width="18.6640625" style="16" customWidth="1"/>
    <col min="8" max="8" width="20.88671875" style="9" customWidth="1"/>
    <col min="9" max="9" width="18.88671875" style="9" bestFit="1" customWidth="1"/>
    <col min="10" max="16384" width="11.44140625" style="9"/>
  </cols>
  <sheetData>
    <row r="2" spans="1:7" ht="25.8" x14ac:dyDescent="0.3">
      <c r="A2" s="213" t="s">
        <v>778</v>
      </c>
      <c r="B2" s="213"/>
      <c r="C2" s="213"/>
      <c r="D2" s="213"/>
      <c r="E2" s="213"/>
      <c r="F2" s="213"/>
    </row>
    <row r="3" spans="1:7" x14ac:dyDescent="0.3">
      <c r="B3" s="10"/>
      <c r="C3" s="28"/>
      <c r="D3" s="11"/>
      <c r="E3" s="11"/>
      <c r="F3" s="11"/>
    </row>
    <row r="4" spans="1:7" s="12" customFormat="1" ht="39.9" customHeight="1" x14ac:dyDescent="0.3">
      <c r="A4" s="6" t="s">
        <v>4</v>
      </c>
      <c r="B4" s="7" t="s">
        <v>0</v>
      </c>
      <c r="C4" s="8" t="s">
        <v>759</v>
      </c>
      <c r="D4" s="5" t="s">
        <v>144</v>
      </c>
      <c r="E4" s="5" t="s">
        <v>202</v>
      </c>
      <c r="F4" s="5" t="s">
        <v>203</v>
      </c>
      <c r="G4" s="5" t="s">
        <v>197</v>
      </c>
    </row>
    <row r="5" spans="1:7" x14ac:dyDescent="0.3">
      <c r="A5" s="17">
        <f t="shared" ref="A5:A36" si="0">ROW(A5)-4</f>
        <v>1</v>
      </c>
      <c r="B5" s="13" t="s">
        <v>787</v>
      </c>
      <c r="C5" s="44" t="s">
        <v>1269</v>
      </c>
      <c r="D5" s="23">
        <v>0</v>
      </c>
      <c r="E5" s="23">
        <v>0</v>
      </c>
      <c r="F5" s="23">
        <v>0</v>
      </c>
      <c r="G5" s="54"/>
    </row>
    <row r="6" spans="1:7" x14ac:dyDescent="0.3">
      <c r="A6" s="17">
        <f t="shared" si="0"/>
        <v>2</v>
      </c>
      <c r="B6" s="13" t="s">
        <v>788</v>
      </c>
      <c r="C6" s="44" t="s">
        <v>779</v>
      </c>
      <c r="D6" s="23">
        <v>0</v>
      </c>
      <c r="E6" s="23">
        <v>0</v>
      </c>
      <c r="F6" s="23">
        <v>0</v>
      </c>
      <c r="G6" s="54"/>
    </row>
    <row r="7" spans="1:7" x14ac:dyDescent="0.3">
      <c r="A7" s="17">
        <f t="shared" si="0"/>
        <v>3</v>
      </c>
      <c r="B7" s="13" t="s">
        <v>789</v>
      </c>
      <c r="C7" s="44" t="s">
        <v>868</v>
      </c>
      <c r="D7" s="23">
        <v>0</v>
      </c>
      <c r="E7" s="23">
        <v>0</v>
      </c>
      <c r="F7" s="23">
        <v>0</v>
      </c>
      <c r="G7" s="54"/>
    </row>
    <row r="8" spans="1:7" x14ac:dyDescent="0.3">
      <c r="A8" s="17">
        <f t="shared" si="0"/>
        <v>4</v>
      </c>
      <c r="B8" s="13" t="s">
        <v>1298</v>
      </c>
      <c r="C8" s="45" t="s">
        <v>1297</v>
      </c>
      <c r="D8" s="23">
        <v>0</v>
      </c>
      <c r="E8" s="23">
        <v>0</v>
      </c>
      <c r="F8" s="23">
        <v>0</v>
      </c>
      <c r="G8" s="54"/>
    </row>
    <row r="9" spans="1:7" x14ac:dyDescent="0.3">
      <c r="A9" s="17">
        <f t="shared" si="0"/>
        <v>5</v>
      </c>
      <c r="B9" s="13" t="s">
        <v>1351</v>
      </c>
      <c r="C9" s="45" t="s">
        <v>1352</v>
      </c>
      <c r="D9" s="23">
        <v>0</v>
      </c>
      <c r="E9" s="23">
        <v>0</v>
      </c>
      <c r="F9" s="23">
        <v>0</v>
      </c>
      <c r="G9" s="54"/>
    </row>
    <row r="10" spans="1:7" x14ac:dyDescent="0.3">
      <c r="A10" s="17">
        <f t="shared" si="0"/>
        <v>6</v>
      </c>
      <c r="B10" s="13" t="s">
        <v>790</v>
      </c>
      <c r="C10" s="44" t="s">
        <v>157</v>
      </c>
      <c r="D10" s="23">
        <v>0</v>
      </c>
      <c r="E10" s="23">
        <v>0</v>
      </c>
      <c r="F10" s="23">
        <v>0</v>
      </c>
      <c r="G10" s="54"/>
    </row>
    <row r="11" spans="1:7" x14ac:dyDescent="0.3">
      <c r="A11" s="17">
        <f t="shared" si="0"/>
        <v>7</v>
      </c>
      <c r="B11" s="13" t="s">
        <v>791</v>
      </c>
      <c r="C11" s="44" t="s">
        <v>168</v>
      </c>
      <c r="D11" s="23">
        <v>0</v>
      </c>
      <c r="E11" s="23">
        <v>0</v>
      </c>
      <c r="F11" s="23">
        <v>0</v>
      </c>
      <c r="G11" s="54"/>
    </row>
    <row r="12" spans="1:7" x14ac:dyDescent="0.3">
      <c r="A12" s="17">
        <f t="shared" si="0"/>
        <v>8</v>
      </c>
      <c r="B12" s="13" t="s">
        <v>792</v>
      </c>
      <c r="C12" s="44" t="s">
        <v>869</v>
      </c>
      <c r="D12" s="23">
        <v>0</v>
      </c>
      <c r="E12" s="23">
        <v>0</v>
      </c>
      <c r="F12" s="23">
        <v>0</v>
      </c>
      <c r="G12" s="54"/>
    </row>
    <row r="13" spans="1:7" x14ac:dyDescent="0.3">
      <c r="A13" s="17">
        <f t="shared" si="0"/>
        <v>9</v>
      </c>
      <c r="B13" s="13" t="s">
        <v>793</v>
      </c>
      <c r="C13" s="44" t="s">
        <v>170</v>
      </c>
      <c r="D13" s="23">
        <v>0</v>
      </c>
      <c r="E13" s="23">
        <v>0</v>
      </c>
      <c r="F13" s="23">
        <v>0</v>
      </c>
      <c r="G13" s="54"/>
    </row>
    <row r="14" spans="1:7" x14ac:dyDescent="0.3">
      <c r="A14" s="17">
        <f t="shared" si="0"/>
        <v>10</v>
      </c>
      <c r="B14" s="13" t="s">
        <v>794</v>
      </c>
      <c r="C14" s="45" t="s">
        <v>1242</v>
      </c>
      <c r="D14" s="23">
        <v>0</v>
      </c>
      <c r="E14" s="23">
        <v>0</v>
      </c>
      <c r="F14" s="23">
        <v>0</v>
      </c>
      <c r="G14" s="54"/>
    </row>
    <row r="15" spans="1:7" x14ac:dyDescent="0.3">
      <c r="A15" s="17">
        <f t="shared" si="0"/>
        <v>11</v>
      </c>
      <c r="B15" s="13" t="s">
        <v>795</v>
      </c>
      <c r="C15" s="44" t="s">
        <v>1299</v>
      </c>
      <c r="D15" s="23">
        <v>0</v>
      </c>
      <c r="E15" s="23">
        <v>0</v>
      </c>
      <c r="F15" s="23">
        <v>0</v>
      </c>
      <c r="G15" s="54"/>
    </row>
    <row r="16" spans="1:7" x14ac:dyDescent="0.3">
      <c r="A16" s="17">
        <f t="shared" si="0"/>
        <v>12</v>
      </c>
      <c r="B16" s="13" t="s">
        <v>1319</v>
      </c>
      <c r="C16" s="45" t="s">
        <v>1315</v>
      </c>
      <c r="D16" s="23">
        <v>0</v>
      </c>
      <c r="E16" s="23">
        <v>0</v>
      </c>
      <c r="F16" s="23">
        <v>0</v>
      </c>
      <c r="G16" s="54"/>
    </row>
    <row r="17" spans="1:7" x14ac:dyDescent="0.3">
      <c r="A17" s="17">
        <f t="shared" si="0"/>
        <v>13</v>
      </c>
      <c r="B17" s="13" t="s">
        <v>1317</v>
      </c>
      <c r="C17" s="45" t="s">
        <v>1313</v>
      </c>
      <c r="D17" s="23">
        <v>0</v>
      </c>
      <c r="E17" s="23">
        <v>0</v>
      </c>
      <c r="F17" s="23">
        <v>0</v>
      </c>
      <c r="G17" s="54"/>
    </row>
    <row r="18" spans="1:7" x14ac:dyDescent="0.3">
      <c r="A18" s="17">
        <f t="shared" si="0"/>
        <v>14</v>
      </c>
      <c r="B18" s="13" t="s">
        <v>1320</v>
      </c>
      <c r="C18" s="45" t="s">
        <v>1316</v>
      </c>
      <c r="D18" s="23">
        <v>0</v>
      </c>
      <c r="E18" s="23">
        <v>0</v>
      </c>
      <c r="F18" s="23">
        <v>0</v>
      </c>
      <c r="G18" s="54"/>
    </row>
    <row r="19" spans="1:7" x14ac:dyDescent="0.3">
      <c r="A19" s="17">
        <f t="shared" si="0"/>
        <v>15</v>
      </c>
      <c r="B19" s="13" t="s">
        <v>1318</v>
      </c>
      <c r="C19" s="45" t="s">
        <v>1314</v>
      </c>
      <c r="D19" s="23">
        <v>0</v>
      </c>
      <c r="E19" s="23">
        <v>0</v>
      </c>
      <c r="F19" s="23">
        <v>0</v>
      </c>
      <c r="G19" s="54"/>
    </row>
    <row r="20" spans="1:7" x14ac:dyDescent="0.3">
      <c r="A20" s="17">
        <f t="shared" si="0"/>
        <v>16</v>
      </c>
      <c r="B20" s="13" t="s">
        <v>1359</v>
      </c>
      <c r="C20" s="45" t="s">
        <v>1358</v>
      </c>
      <c r="D20" s="23">
        <v>0</v>
      </c>
      <c r="E20" s="23">
        <v>0</v>
      </c>
      <c r="F20" s="23">
        <v>0</v>
      </c>
      <c r="G20" s="54"/>
    </row>
    <row r="21" spans="1:7" x14ac:dyDescent="0.3">
      <c r="A21" s="17">
        <f t="shared" si="0"/>
        <v>17</v>
      </c>
      <c r="B21" s="13" t="s">
        <v>796</v>
      </c>
      <c r="C21" s="44" t="s">
        <v>155</v>
      </c>
      <c r="D21" s="23">
        <v>0</v>
      </c>
      <c r="E21" s="23">
        <v>0</v>
      </c>
      <c r="F21" s="23">
        <v>0</v>
      </c>
      <c r="G21" s="54"/>
    </row>
    <row r="22" spans="1:7" x14ac:dyDescent="0.3">
      <c r="A22" s="17">
        <f t="shared" si="0"/>
        <v>18</v>
      </c>
      <c r="B22" s="13" t="s">
        <v>797</v>
      </c>
      <c r="C22" s="44" t="s">
        <v>780</v>
      </c>
      <c r="D22" s="23">
        <v>0</v>
      </c>
      <c r="E22" s="23">
        <v>0</v>
      </c>
      <c r="F22" s="23">
        <v>0</v>
      </c>
      <c r="G22" s="54"/>
    </row>
    <row r="23" spans="1:7" x14ac:dyDescent="0.3">
      <c r="A23" s="17">
        <f t="shared" si="0"/>
        <v>19</v>
      </c>
      <c r="B23" s="13" t="s">
        <v>798</v>
      </c>
      <c r="C23" s="45" t="s">
        <v>1234</v>
      </c>
      <c r="D23" s="23">
        <v>0</v>
      </c>
      <c r="E23" s="23">
        <v>0</v>
      </c>
      <c r="F23" s="23">
        <v>0</v>
      </c>
      <c r="G23" s="54"/>
    </row>
    <row r="24" spans="1:7" x14ac:dyDescent="0.3">
      <c r="A24" s="17">
        <f t="shared" si="0"/>
        <v>20</v>
      </c>
      <c r="B24" s="13" t="s">
        <v>799</v>
      </c>
      <c r="C24" s="52" t="s">
        <v>1262</v>
      </c>
      <c r="D24" s="23">
        <v>0</v>
      </c>
      <c r="E24" s="23">
        <v>0</v>
      </c>
      <c r="F24" s="23">
        <v>0</v>
      </c>
      <c r="G24" s="54"/>
    </row>
    <row r="25" spans="1:7" x14ac:dyDescent="0.3">
      <c r="A25" s="17">
        <f t="shared" si="0"/>
        <v>21</v>
      </c>
      <c r="B25" s="13" t="s">
        <v>1270</v>
      </c>
      <c r="C25" s="44" t="s">
        <v>166</v>
      </c>
      <c r="D25" s="23">
        <v>0</v>
      </c>
      <c r="E25" s="23">
        <v>0</v>
      </c>
      <c r="F25" s="23">
        <v>0</v>
      </c>
      <c r="G25" s="54"/>
    </row>
    <row r="26" spans="1:7" x14ac:dyDescent="0.3">
      <c r="A26" s="17">
        <f t="shared" si="0"/>
        <v>22</v>
      </c>
      <c r="B26" s="13" t="s">
        <v>800</v>
      </c>
      <c r="C26" s="44" t="s">
        <v>1125</v>
      </c>
      <c r="D26" s="23">
        <v>0</v>
      </c>
      <c r="E26" s="23">
        <v>0</v>
      </c>
      <c r="F26" s="23">
        <v>0</v>
      </c>
      <c r="G26" s="54"/>
    </row>
    <row r="27" spans="1:7" x14ac:dyDescent="0.3">
      <c r="A27" s="17">
        <f t="shared" si="0"/>
        <v>23</v>
      </c>
      <c r="B27" s="13" t="s">
        <v>801</v>
      </c>
      <c r="C27" s="44" t="s">
        <v>1126</v>
      </c>
      <c r="D27" s="23">
        <v>0</v>
      </c>
      <c r="E27" s="23">
        <v>0</v>
      </c>
      <c r="F27" s="23">
        <v>0</v>
      </c>
      <c r="G27" s="54"/>
    </row>
    <row r="28" spans="1:7" x14ac:dyDescent="0.3">
      <c r="A28" s="17">
        <f t="shared" si="0"/>
        <v>24</v>
      </c>
      <c r="B28" s="13" t="s">
        <v>802</v>
      </c>
      <c r="C28" s="44" t="s">
        <v>1127</v>
      </c>
      <c r="D28" s="23">
        <v>0</v>
      </c>
      <c r="E28" s="23">
        <v>0</v>
      </c>
      <c r="F28" s="23">
        <v>0</v>
      </c>
      <c r="G28" s="54"/>
    </row>
    <row r="29" spans="1:7" x14ac:dyDescent="0.3">
      <c r="A29" s="17">
        <f t="shared" si="0"/>
        <v>25</v>
      </c>
      <c r="B29" s="13" t="s">
        <v>803</v>
      </c>
      <c r="C29" s="44" t="s">
        <v>159</v>
      </c>
      <c r="D29" s="23">
        <v>0</v>
      </c>
      <c r="E29" s="23">
        <v>0</v>
      </c>
      <c r="F29" s="23">
        <v>0</v>
      </c>
      <c r="G29" s="54"/>
    </row>
    <row r="30" spans="1:7" x14ac:dyDescent="0.3">
      <c r="A30" s="17">
        <f t="shared" si="0"/>
        <v>26</v>
      </c>
      <c r="B30" s="13" t="s">
        <v>804</v>
      </c>
      <c r="C30" s="52" t="s">
        <v>1261</v>
      </c>
      <c r="D30" s="23">
        <v>0</v>
      </c>
      <c r="E30" s="23">
        <v>0</v>
      </c>
      <c r="F30" s="23">
        <v>0</v>
      </c>
      <c r="G30" s="54"/>
    </row>
    <row r="31" spans="1:7" x14ac:dyDescent="0.3">
      <c r="A31" s="17">
        <f t="shared" si="0"/>
        <v>27</v>
      </c>
      <c r="B31" s="13" t="s">
        <v>805</v>
      </c>
      <c r="C31" s="52" t="s">
        <v>1128</v>
      </c>
      <c r="D31" s="23">
        <v>0</v>
      </c>
      <c r="E31" s="23">
        <v>0</v>
      </c>
      <c r="F31" s="23">
        <v>0</v>
      </c>
      <c r="G31" s="54"/>
    </row>
    <row r="32" spans="1:7" x14ac:dyDescent="0.3">
      <c r="A32" s="17">
        <f t="shared" si="0"/>
        <v>28</v>
      </c>
      <c r="B32" s="13" t="s">
        <v>806</v>
      </c>
      <c r="C32" s="52" t="s">
        <v>1221</v>
      </c>
      <c r="D32" s="23">
        <v>0</v>
      </c>
      <c r="E32" s="23">
        <v>0</v>
      </c>
      <c r="F32" s="23">
        <v>0</v>
      </c>
      <c r="G32" s="54"/>
    </row>
    <row r="33" spans="1:7" x14ac:dyDescent="0.3">
      <c r="A33" s="17">
        <f t="shared" si="0"/>
        <v>29</v>
      </c>
      <c r="B33" s="13" t="s">
        <v>807</v>
      </c>
      <c r="C33" s="44" t="s">
        <v>1222</v>
      </c>
      <c r="D33" s="23">
        <v>0</v>
      </c>
      <c r="E33" s="23">
        <v>0</v>
      </c>
      <c r="F33" s="23">
        <v>0</v>
      </c>
      <c r="G33" s="54"/>
    </row>
    <row r="34" spans="1:7" x14ac:dyDescent="0.3">
      <c r="A34" s="17">
        <f t="shared" si="0"/>
        <v>30</v>
      </c>
      <c r="B34" s="13" t="s">
        <v>808</v>
      </c>
      <c r="C34" s="52" t="s">
        <v>1223</v>
      </c>
      <c r="D34" s="23">
        <v>0</v>
      </c>
      <c r="E34" s="23">
        <v>0</v>
      </c>
      <c r="F34" s="23">
        <v>0</v>
      </c>
      <c r="G34" s="54"/>
    </row>
    <row r="35" spans="1:7" x14ac:dyDescent="0.3">
      <c r="A35" s="17">
        <f t="shared" si="0"/>
        <v>31</v>
      </c>
      <c r="B35" s="13" t="s">
        <v>809</v>
      </c>
      <c r="C35" s="52" t="s">
        <v>1224</v>
      </c>
      <c r="D35" s="23">
        <v>0</v>
      </c>
      <c r="E35" s="23">
        <v>0</v>
      </c>
      <c r="F35" s="23">
        <v>0</v>
      </c>
      <c r="G35" s="54"/>
    </row>
    <row r="36" spans="1:7" x14ac:dyDescent="0.3">
      <c r="A36" s="17">
        <f t="shared" si="0"/>
        <v>32</v>
      </c>
      <c r="B36" s="13" t="s">
        <v>810</v>
      </c>
      <c r="C36" s="44" t="s">
        <v>1226</v>
      </c>
      <c r="D36" s="23">
        <v>0</v>
      </c>
      <c r="E36" s="23">
        <v>0</v>
      </c>
      <c r="F36" s="23">
        <v>0</v>
      </c>
      <c r="G36" s="54"/>
    </row>
    <row r="37" spans="1:7" x14ac:dyDescent="0.3">
      <c r="A37" s="17">
        <f t="shared" ref="A37:A68" si="1">ROW(A37)-4</f>
        <v>33</v>
      </c>
      <c r="B37" s="13" t="s">
        <v>811</v>
      </c>
      <c r="C37" s="52" t="s">
        <v>1227</v>
      </c>
      <c r="D37" s="23">
        <v>0</v>
      </c>
      <c r="E37" s="23">
        <v>0</v>
      </c>
      <c r="F37" s="23">
        <v>0</v>
      </c>
      <c r="G37" s="54"/>
    </row>
    <row r="38" spans="1:7" x14ac:dyDescent="0.3">
      <c r="A38" s="17">
        <f t="shared" si="1"/>
        <v>34</v>
      </c>
      <c r="B38" s="13" t="s">
        <v>812</v>
      </c>
      <c r="C38" s="52" t="s">
        <v>1225</v>
      </c>
      <c r="D38" s="23">
        <v>0</v>
      </c>
      <c r="E38" s="23">
        <v>0</v>
      </c>
      <c r="F38" s="23">
        <v>0</v>
      </c>
      <c r="G38" s="54"/>
    </row>
    <row r="39" spans="1:7" x14ac:dyDescent="0.3">
      <c r="A39" s="17">
        <f t="shared" si="1"/>
        <v>35</v>
      </c>
      <c r="B39" s="13" t="s">
        <v>1306</v>
      </c>
      <c r="C39" s="45" t="s">
        <v>1305</v>
      </c>
      <c r="D39" s="23">
        <v>0</v>
      </c>
      <c r="E39" s="23">
        <v>0</v>
      </c>
      <c r="F39" s="23">
        <v>0</v>
      </c>
      <c r="G39" s="54"/>
    </row>
    <row r="40" spans="1:7" x14ac:dyDescent="0.3">
      <c r="A40" s="17">
        <f t="shared" si="1"/>
        <v>36</v>
      </c>
      <c r="B40" s="13" t="s">
        <v>813</v>
      </c>
      <c r="C40" s="44" t="s">
        <v>944</v>
      </c>
      <c r="D40" s="23">
        <v>0</v>
      </c>
      <c r="E40" s="23">
        <v>0</v>
      </c>
      <c r="F40" s="23">
        <v>0</v>
      </c>
      <c r="G40" s="54"/>
    </row>
    <row r="41" spans="1:7" x14ac:dyDescent="0.3">
      <c r="A41" s="17">
        <f t="shared" si="1"/>
        <v>37</v>
      </c>
      <c r="B41" s="13" t="s">
        <v>814</v>
      </c>
      <c r="C41" s="44" t="s">
        <v>782</v>
      </c>
      <c r="D41" s="23">
        <v>0</v>
      </c>
      <c r="E41" s="23">
        <v>0</v>
      </c>
      <c r="F41" s="23">
        <v>0</v>
      </c>
      <c r="G41" s="54"/>
    </row>
    <row r="42" spans="1:7" x14ac:dyDescent="0.3">
      <c r="A42" s="17">
        <f t="shared" si="1"/>
        <v>38</v>
      </c>
      <c r="B42" s="13" t="s">
        <v>1357</v>
      </c>
      <c r="C42" s="45" t="s">
        <v>1360</v>
      </c>
      <c r="D42" s="23">
        <v>0</v>
      </c>
      <c r="E42" s="23">
        <v>0</v>
      </c>
      <c r="F42" s="23">
        <v>0</v>
      </c>
      <c r="G42" s="54"/>
    </row>
    <row r="43" spans="1:7" x14ac:dyDescent="0.3">
      <c r="A43" s="17">
        <f t="shared" si="1"/>
        <v>39</v>
      </c>
      <c r="B43" s="13" t="s">
        <v>815</v>
      </c>
      <c r="C43" s="45" t="s">
        <v>770</v>
      </c>
      <c r="D43" s="23">
        <v>0</v>
      </c>
      <c r="E43" s="23">
        <v>0</v>
      </c>
      <c r="F43" s="23">
        <v>0</v>
      </c>
      <c r="G43" s="54"/>
    </row>
    <row r="44" spans="1:7" x14ac:dyDescent="0.3">
      <c r="A44" s="17">
        <f t="shared" si="1"/>
        <v>40</v>
      </c>
      <c r="B44" s="13" t="s">
        <v>816</v>
      </c>
      <c r="C44" s="44" t="s">
        <v>257</v>
      </c>
      <c r="D44" s="23">
        <v>0</v>
      </c>
      <c r="E44" s="23">
        <v>0</v>
      </c>
      <c r="F44" s="23">
        <v>0</v>
      </c>
      <c r="G44" s="54"/>
    </row>
    <row r="45" spans="1:7" x14ac:dyDescent="0.3">
      <c r="A45" s="17">
        <f t="shared" si="1"/>
        <v>41</v>
      </c>
      <c r="B45" s="13" t="s">
        <v>817</v>
      </c>
      <c r="C45" s="44" t="s">
        <v>171</v>
      </c>
      <c r="D45" s="23">
        <v>0</v>
      </c>
      <c r="E45" s="23">
        <v>0</v>
      </c>
      <c r="F45" s="23">
        <v>0</v>
      </c>
      <c r="G45" s="54"/>
    </row>
    <row r="46" spans="1:7" x14ac:dyDescent="0.3">
      <c r="A46" s="17">
        <f t="shared" si="1"/>
        <v>42</v>
      </c>
      <c r="B46" s="13" t="s">
        <v>818</v>
      </c>
      <c r="C46" s="44" t="s">
        <v>1243</v>
      </c>
      <c r="D46" s="23">
        <v>0</v>
      </c>
      <c r="E46" s="23">
        <v>0</v>
      </c>
      <c r="F46" s="23">
        <v>0</v>
      </c>
      <c r="G46" s="54"/>
    </row>
    <row r="47" spans="1:7" x14ac:dyDescent="0.3">
      <c r="A47" s="17">
        <f t="shared" si="1"/>
        <v>43</v>
      </c>
      <c r="B47" s="13" t="s">
        <v>819</v>
      </c>
      <c r="C47" s="44" t="s">
        <v>249</v>
      </c>
      <c r="D47" s="23">
        <v>0</v>
      </c>
      <c r="E47" s="23">
        <v>0</v>
      </c>
      <c r="F47" s="23">
        <v>0</v>
      </c>
      <c r="G47" s="54"/>
    </row>
    <row r="48" spans="1:7" x14ac:dyDescent="0.3">
      <c r="A48" s="17">
        <f t="shared" si="1"/>
        <v>44</v>
      </c>
      <c r="B48" s="13" t="s">
        <v>820</v>
      </c>
      <c r="C48" s="44" t="s">
        <v>870</v>
      </c>
      <c r="D48" s="23">
        <v>0</v>
      </c>
      <c r="E48" s="23">
        <v>0</v>
      </c>
      <c r="F48" s="23">
        <v>0</v>
      </c>
      <c r="G48" s="54"/>
    </row>
    <row r="49" spans="1:7" x14ac:dyDescent="0.3">
      <c r="A49" s="17">
        <f t="shared" si="1"/>
        <v>45</v>
      </c>
      <c r="B49" s="13" t="s">
        <v>821</v>
      </c>
      <c r="C49" s="44" t="s">
        <v>169</v>
      </c>
      <c r="D49" s="23">
        <v>0</v>
      </c>
      <c r="E49" s="23">
        <v>0</v>
      </c>
      <c r="F49" s="23">
        <v>0</v>
      </c>
      <c r="G49" s="54"/>
    </row>
    <row r="50" spans="1:7" x14ac:dyDescent="0.3">
      <c r="A50" s="17">
        <f t="shared" si="1"/>
        <v>46</v>
      </c>
      <c r="B50" s="13" t="s">
        <v>1289</v>
      </c>
      <c r="C50" s="45" t="s">
        <v>1288</v>
      </c>
      <c r="D50" s="23">
        <v>0</v>
      </c>
      <c r="E50" s="23">
        <v>0</v>
      </c>
      <c r="F50" s="23">
        <v>0</v>
      </c>
      <c r="G50" s="54"/>
    </row>
    <row r="51" spans="1:7" x14ac:dyDescent="0.3">
      <c r="A51" s="17">
        <f t="shared" si="1"/>
        <v>47</v>
      </c>
      <c r="B51" s="13" t="s">
        <v>1376</v>
      </c>
      <c r="C51" s="45" t="s">
        <v>1373</v>
      </c>
      <c r="D51" s="23">
        <v>0</v>
      </c>
      <c r="E51" s="23">
        <v>0</v>
      </c>
      <c r="F51" s="23">
        <v>0</v>
      </c>
      <c r="G51" s="54"/>
    </row>
    <row r="52" spans="1:7" x14ac:dyDescent="0.3">
      <c r="A52" s="17">
        <f t="shared" si="1"/>
        <v>48</v>
      </c>
      <c r="B52" s="13" t="s">
        <v>1375</v>
      </c>
      <c r="C52" s="45" t="s">
        <v>1372</v>
      </c>
      <c r="D52" s="23">
        <v>0</v>
      </c>
      <c r="E52" s="23">
        <v>0</v>
      </c>
      <c r="F52" s="23">
        <v>0</v>
      </c>
      <c r="G52" s="54"/>
    </row>
    <row r="53" spans="1:7" x14ac:dyDescent="0.3">
      <c r="A53" s="17">
        <f t="shared" si="1"/>
        <v>49</v>
      </c>
      <c r="B53" s="13" t="s">
        <v>1287</v>
      </c>
      <c r="C53" s="45" t="s">
        <v>1286</v>
      </c>
      <c r="D53" s="23">
        <v>0</v>
      </c>
      <c r="E53" s="23">
        <v>0</v>
      </c>
      <c r="F53" s="23">
        <v>0</v>
      </c>
      <c r="G53" s="54"/>
    </row>
    <row r="54" spans="1:7" x14ac:dyDescent="0.3">
      <c r="A54" s="27">
        <f t="shared" si="1"/>
        <v>50</v>
      </c>
      <c r="B54" s="13" t="s">
        <v>1374</v>
      </c>
      <c r="C54" s="157" t="s">
        <v>1371</v>
      </c>
      <c r="D54" s="23">
        <v>0</v>
      </c>
      <c r="E54" s="23">
        <v>0</v>
      </c>
      <c r="F54" s="23">
        <v>0</v>
      </c>
      <c r="G54" s="54"/>
    </row>
    <row r="55" spans="1:7" x14ac:dyDescent="0.3">
      <c r="A55" s="27">
        <f t="shared" si="1"/>
        <v>51</v>
      </c>
      <c r="B55" s="13" t="s">
        <v>822</v>
      </c>
      <c r="C55" s="46" t="s">
        <v>871</v>
      </c>
      <c r="D55" s="23">
        <v>0</v>
      </c>
      <c r="E55" s="23">
        <v>0</v>
      </c>
      <c r="F55" s="23">
        <v>0</v>
      </c>
      <c r="G55" s="54"/>
    </row>
    <row r="56" spans="1:7" x14ac:dyDescent="0.3">
      <c r="A56" s="27">
        <f t="shared" si="1"/>
        <v>52</v>
      </c>
      <c r="B56" s="13" t="s">
        <v>823</v>
      </c>
      <c r="C56" s="157" t="s">
        <v>1235</v>
      </c>
      <c r="D56" s="23">
        <v>0</v>
      </c>
      <c r="E56" s="23">
        <v>0</v>
      </c>
      <c r="F56" s="23">
        <v>0</v>
      </c>
      <c r="G56" s="54"/>
    </row>
    <row r="57" spans="1:7" x14ac:dyDescent="0.3">
      <c r="A57" s="27">
        <f t="shared" si="1"/>
        <v>53</v>
      </c>
      <c r="B57" s="13" t="s">
        <v>824</v>
      </c>
      <c r="C57" s="46" t="s">
        <v>872</v>
      </c>
      <c r="D57" s="23">
        <v>0</v>
      </c>
      <c r="E57" s="23">
        <v>0</v>
      </c>
      <c r="F57" s="23">
        <v>0</v>
      </c>
      <c r="G57" s="54"/>
    </row>
    <row r="58" spans="1:7" x14ac:dyDescent="0.3">
      <c r="A58" s="27">
        <f t="shared" si="1"/>
        <v>54</v>
      </c>
      <c r="B58" s="13" t="s">
        <v>825</v>
      </c>
      <c r="C58" s="46" t="s">
        <v>1273</v>
      </c>
      <c r="D58" s="23">
        <v>0</v>
      </c>
      <c r="E58" s="23">
        <v>0</v>
      </c>
      <c r="F58" s="23">
        <v>0</v>
      </c>
      <c r="G58" s="54"/>
    </row>
    <row r="59" spans="1:7" x14ac:dyDescent="0.3">
      <c r="A59" s="27">
        <f t="shared" si="1"/>
        <v>55</v>
      </c>
      <c r="B59" s="13" t="s">
        <v>826</v>
      </c>
      <c r="C59" s="46" t="s">
        <v>784</v>
      </c>
      <c r="D59" s="23">
        <v>0</v>
      </c>
      <c r="E59" s="23">
        <v>0</v>
      </c>
      <c r="F59" s="23">
        <v>0</v>
      </c>
      <c r="G59" s="54"/>
    </row>
    <row r="60" spans="1:7" x14ac:dyDescent="0.3">
      <c r="A60" s="27">
        <f t="shared" si="1"/>
        <v>56</v>
      </c>
      <c r="B60" s="13" t="s">
        <v>827</v>
      </c>
      <c r="C60" s="46" t="s">
        <v>265</v>
      </c>
      <c r="D60" s="23">
        <v>0</v>
      </c>
      <c r="E60" s="23">
        <v>0</v>
      </c>
      <c r="F60" s="23">
        <v>0</v>
      </c>
      <c r="G60" s="54"/>
    </row>
    <row r="61" spans="1:7" x14ac:dyDescent="0.3">
      <c r="A61" s="27">
        <f t="shared" si="1"/>
        <v>57</v>
      </c>
      <c r="B61" s="13" t="s">
        <v>828</v>
      </c>
      <c r="C61" s="46" t="s">
        <v>873</v>
      </c>
      <c r="D61" s="23">
        <v>0</v>
      </c>
      <c r="E61" s="23">
        <v>0</v>
      </c>
      <c r="F61" s="23">
        <v>0</v>
      </c>
      <c r="G61" s="54"/>
    </row>
    <row r="62" spans="1:7" x14ac:dyDescent="0.3">
      <c r="A62" s="27">
        <f t="shared" si="1"/>
        <v>58</v>
      </c>
      <c r="B62" s="14" t="s">
        <v>1348</v>
      </c>
      <c r="C62" s="157" t="s">
        <v>1347</v>
      </c>
      <c r="D62" s="23">
        <v>0</v>
      </c>
      <c r="E62" s="23">
        <v>0</v>
      </c>
      <c r="F62" s="23">
        <v>0</v>
      </c>
      <c r="G62" s="54"/>
    </row>
    <row r="63" spans="1:7" x14ac:dyDescent="0.3">
      <c r="A63" s="27">
        <f t="shared" si="1"/>
        <v>59</v>
      </c>
      <c r="B63" s="14" t="s">
        <v>829</v>
      </c>
      <c r="C63" s="157" t="s">
        <v>1152</v>
      </c>
      <c r="D63" s="23">
        <v>0</v>
      </c>
      <c r="E63" s="23">
        <v>0</v>
      </c>
      <c r="F63" s="23">
        <v>0</v>
      </c>
      <c r="G63" s="54"/>
    </row>
    <row r="64" spans="1:7" x14ac:dyDescent="0.3">
      <c r="A64" s="27">
        <f t="shared" si="1"/>
        <v>60</v>
      </c>
      <c r="B64" s="14" t="s">
        <v>830</v>
      </c>
      <c r="C64" s="46" t="s">
        <v>164</v>
      </c>
      <c r="D64" s="23">
        <v>0</v>
      </c>
      <c r="E64" s="23">
        <v>0</v>
      </c>
      <c r="F64" s="23">
        <v>0</v>
      </c>
      <c r="G64" s="54"/>
    </row>
    <row r="65" spans="1:7" x14ac:dyDescent="0.3">
      <c r="A65" s="27">
        <f t="shared" si="1"/>
        <v>61</v>
      </c>
      <c r="B65" s="14" t="s">
        <v>831</v>
      </c>
      <c r="C65" s="46" t="s">
        <v>165</v>
      </c>
      <c r="D65" s="23">
        <v>0</v>
      </c>
      <c r="E65" s="23">
        <v>0</v>
      </c>
      <c r="F65" s="23">
        <v>0</v>
      </c>
      <c r="G65" s="54"/>
    </row>
    <row r="66" spans="1:7" x14ac:dyDescent="0.3">
      <c r="A66" s="27">
        <f t="shared" si="1"/>
        <v>62</v>
      </c>
      <c r="B66" s="13" t="s">
        <v>832</v>
      </c>
      <c r="C66" s="46" t="s">
        <v>1144</v>
      </c>
      <c r="D66" s="23">
        <v>0</v>
      </c>
      <c r="E66" s="23">
        <v>0</v>
      </c>
      <c r="F66" s="23">
        <v>0</v>
      </c>
      <c r="G66" s="54"/>
    </row>
    <row r="67" spans="1:7" x14ac:dyDescent="0.3">
      <c r="A67" s="27">
        <f t="shared" si="1"/>
        <v>63</v>
      </c>
      <c r="B67" s="14" t="s">
        <v>874</v>
      </c>
      <c r="C67" s="46" t="s">
        <v>1443</v>
      </c>
      <c r="D67" s="23">
        <v>0</v>
      </c>
      <c r="E67" s="23">
        <v>0</v>
      </c>
      <c r="F67" s="23">
        <v>0</v>
      </c>
      <c r="G67" s="54"/>
    </row>
    <row r="68" spans="1:7" x14ac:dyDescent="0.3">
      <c r="A68" s="27">
        <f t="shared" si="1"/>
        <v>64</v>
      </c>
      <c r="B68" s="14" t="s">
        <v>875</v>
      </c>
      <c r="C68" s="46" t="s">
        <v>1129</v>
      </c>
      <c r="D68" s="23">
        <v>0</v>
      </c>
      <c r="E68" s="23">
        <v>0</v>
      </c>
      <c r="F68" s="23">
        <v>0</v>
      </c>
      <c r="G68" s="54"/>
    </row>
    <row r="69" spans="1:7" x14ac:dyDescent="0.3">
      <c r="A69" s="27">
        <f t="shared" ref="A69:A76" si="2">ROW(A69)-4</f>
        <v>65</v>
      </c>
      <c r="B69" s="14" t="s">
        <v>983</v>
      </c>
      <c r="C69" s="46" t="s">
        <v>785</v>
      </c>
      <c r="D69" s="23">
        <v>0</v>
      </c>
      <c r="E69" s="23">
        <v>0</v>
      </c>
      <c r="F69" s="23">
        <v>0</v>
      </c>
      <c r="G69" s="54"/>
    </row>
    <row r="70" spans="1:7" x14ac:dyDescent="0.3">
      <c r="A70" s="27">
        <f t="shared" si="2"/>
        <v>66</v>
      </c>
      <c r="B70" s="14" t="s">
        <v>1151</v>
      </c>
      <c r="C70" s="46" t="s">
        <v>1130</v>
      </c>
      <c r="D70" s="23">
        <v>0</v>
      </c>
      <c r="E70" s="23">
        <v>0</v>
      </c>
      <c r="F70" s="23">
        <v>0</v>
      </c>
      <c r="G70" s="54"/>
    </row>
    <row r="71" spans="1:7" x14ac:dyDescent="0.3">
      <c r="A71" s="27">
        <f t="shared" si="2"/>
        <v>67</v>
      </c>
      <c r="B71" s="14" t="s">
        <v>1228</v>
      </c>
      <c r="C71" s="157" t="s">
        <v>1240</v>
      </c>
      <c r="D71" s="23">
        <v>0</v>
      </c>
      <c r="E71" s="23">
        <v>0</v>
      </c>
      <c r="F71" s="23">
        <v>0</v>
      </c>
      <c r="G71" s="54"/>
    </row>
    <row r="72" spans="1:7" x14ac:dyDescent="0.3">
      <c r="A72" s="27">
        <f t="shared" si="2"/>
        <v>68</v>
      </c>
      <c r="B72" s="14" t="s">
        <v>1237</v>
      </c>
      <c r="C72" s="46" t="s">
        <v>1424</v>
      </c>
      <c r="D72" s="23">
        <v>0</v>
      </c>
      <c r="E72" s="23">
        <v>0</v>
      </c>
      <c r="F72" s="23">
        <v>0</v>
      </c>
      <c r="G72" s="54"/>
    </row>
    <row r="73" spans="1:7" x14ac:dyDescent="0.3">
      <c r="A73" s="27">
        <f t="shared" si="2"/>
        <v>69</v>
      </c>
      <c r="B73" s="14" t="s">
        <v>1238</v>
      </c>
      <c r="C73" s="46" t="s">
        <v>786</v>
      </c>
      <c r="D73" s="23">
        <v>0</v>
      </c>
      <c r="E73" s="23">
        <v>0</v>
      </c>
      <c r="F73" s="23">
        <v>0</v>
      </c>
      <c r="G73" s="54"/>
    </row>
    <row r="74" spans="1:7" x14ac:dyDescent="0.3">
      <c r="A74" s="27">
        <f t="shared" si="2"/>
        <v>70</v>
      </c>
      <c r="B74" s="14" t="s">
        <v>1239</v>
      </c>
      <c r="C74" s="46" t="s">
        <v>156</v>
      </c>
      <c r="D74" s="23">
        <v>0</v>
      </c>
      <c r="E74" s="23">
        <v>0</v>
      </c>
      <c r="F74" s="23">
        <v>0</v>
      </c>
      <c r="G74" s="54"/>
    </row>
    <row r="75" spans="1:7" x14ac:dyDescent="0.3">
      <c r="A75" s="27">
        <f t="shared" si="2"/>
        <v>71</v>
      </c>
      <c r="B75" s="14" t="s">
        <v>1244</v>
      </c>
      <c r="C75" s="157" t="s">
        <v>1241</v>
      </c>
      <c r="D75" s="23">
        <v>0</v>
      </c>
      <c r="E75" s="23">
        <v>0</v>
      </c>
      <c r="F75" s="23">
        <v>0</v>
      </c>
      <c r="G75" s="54"/>
    </row>
    <row r="76" spans="1:7" x14ac:dyDescent="0.3">
      <c r="A76" s="27">
        <f t="shared" si="2"/>
        <v>72</v>
      </c>
      <c r="B76" s="14" t="s">
        <v>1245</v>
      </c>
      <c r="C76" s="157" t="s">
        <v>1236</v>
      </c>
      <c r="D76" s="23">
        <v>0</v>
      </c>
      <c r="E76" s="23">
        <v>0</v>
      </c>
      <c r="F76" s="23">
        <v>0</v>
      </c>
      <c r="G76" s="54"/>
    </row>
  </sheetData>
  <mergeCells count="1">
    <mergeCell ref="A2:F2"/>
  </mergeCells>
  <phoneticPr fontId="6" type="noConversion"/>
  <conditionalFormatting sqref="C54 C1:C4 C56:C1048576">
    <cfRule type="duplicateValues" dxfId="30" priority="5"/>
  </conditionalFormatting>
  <conditionalFormatting sqref="C55">
    <cfRule type="duplicateValues" dxfId="29" priority="2"/>
  </conditionalFormatting>
  <conditionalFormatting sqref="C5:C76">
    <cfRule type="duplicateValues" dxfId="28" priority="83"/>
  </conditionalFormatting>
  <conditionalFormatting sqref="B1:B1048576">
    <cfRule type="duplicateValues" dxfId="27" priority="1"/>
  </conditionalFormatting>
  <pageMargins left="0.25" right="0.25" top="0.41" bottom="0.35" header="0.3" footer="0.3"/>
  <pageSetup paperSize="9" scale="90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D745-E8EE-4658-9043-44A07524CAC3}">
  <sheetPr codeName="Hoja8">
    <tabColor rgb="FF7030A0"/>
    <pageSetUpPr fitToPage="1"/>
  </sheetPr>
  <dimension ref="A2:G77"/>
  <sheetViews>
    <sheetView zoomScaleNormal="100" workbookViewId="0">
      <selection activeCell="D16" sqref="D16"/>
    </sheetView>
  </sheetViews>
  <sheetFormatPr baseColWidth="10" defaultColWidth="11.44140625" defaultRowHeight="14.4" x14ac:dyDescent="0.3"/>
  <cols>
    <col min="1" max="1" width="5.5546875" style="9" customWidth="1"/>
    <col min="2" max="2" width="11.44140625" style="9"/>
    <col min="3" max="3" width="44.6640625" style="35" bestFit="1" customWidth="1"/>
    <col min="4" max="6" width="18.6640625" style="9" customWidth="1"/>
    <col min="7" max="7" width="18.6640625" style="16" customWidth="1"/>
    <col min="8" max="8" width="20.88671875" style="9" customWidth="1"/>
    <col min="9" max="9" width="18.88671875" style="9" bestFit="1" customWidth="1"/>
    <col min="10" max="16384" width="11.44140625" style="9"/>
  </cols>
  <sheetData>
    <row r="2" spans="1:7" ht="25.8" x14ac:dyDescent="0.3">
      <c r="A2" s="213" t="s">
        <v>876</v>
      </c>
      <c r="B2" s="213"/>
      <c r="C2" s="213"/>
      <c r="D2" s="213"/>
      <c r="E2" s="213"/>
      <c r="F2" s="213"/>
    </row>
    <row r="3" spans="1:7" x14ac:dyDescent="0.3">
      <c r="B3" s="10"/>
      <c r="C3" s="28"/>
      <c r="D3" s="11"/>
      <c r="E3" s="11"/>
      <c r="F3" s="11"/>
    </row>
    <row r="4" spans="1:7" s="12" customFormat="1" ht="39.9" customHeight="1" x14ac:dyDescent="0.3">
      <c r="A4" s="6" t="s">
        <v>4</v>
      </c>
      <c r="B4" s="7" t="s">
        <v>0</v>
      </c>
      <c r="C4" s="8" t="s">
        <v>759</v>
      </c>
      <c r="D4" s="5" t="s">
        <v>144</v>
      </c>
      <c r="E4" s="5" t="s">
        <v>202</v>
      </c>
      <c r="F4" s="5" t="s">
        <v>203</v>
      </c>
      <c r="G4" s="5" t="s">
        <v>197</v>
      </c>
    </row>
    <row r="5" spans="1:7" x14ac:dyDescent="0.3">
      <c r="A5" s="17">
        <f t="shared" ref="A5:A36" si="0">ROW(A5)-4</f>
        <v>1</v>
      </c>
      <c r="B5" s="13" t="s">
        <v>877</v>
      </c>
      <c r="C5" s="47" t="s">
        <v>926</v>
      </c>
      <c r="D5" s="23">
        <v>0</v>
      </c>
      <c r="E5" s="23">
        <v>0</v>
      </c>
      <c r="F5" s="23">
        <f>(Tabla256724[[#This Row],[CANTIDAD REQUERIDA]]-Tabla256724[[#This Row],[CANTIDAD ABASTECIDA]])</f>
        <v>0</v>
      </c>
      <c r="G5" s="54"/>
    </row>
    <row r="6" spans="1:7" x14ac:dyDescent="0.3">
      <c r="A6" s="17">
        <f t="shared" si="0"/>
        <v>2</v>
      </c>
      <c r="B6" s="13" t="s">
        <v>878</v>
      </c>
      <c r="C6" s="47" t="s">
        <v>927</v>
      </c>
      <c r="D6" s="23">
        <v>0</v>
      </c>
      <c r="E6" s="23">
        <v>0</v>
      </c>
      <c r="F6" s="23">
        <f>(Tabla256724[[#This Row],[CANTIDAD REQUERIDA]]-Tabla256724[[#This Row],[CANTIDAD ABASTECIDA]])</f>
        <v>0</v>
      </c>
      <c r="G6" s="54"/>
    </row>
    <row r="7" spans="1:7" x14ac:dyDescent="0.3">
      <c r="A7" s="17">
        <f t="shared" si="0"/>
        <v>3</v>
      </c>
      <c r="B7" s="13" t="s">
        <v>879</v>
      </c>
      <c r="C7" s="47" t="s">
        <v>928</v>
      </c>
      <c r="D7" s="23">
        <v>0</v>
      </c>
      <c r="E7" s="23">
        <v>0</v>
      </c>
      <c r="F7" s="23">
        <f>(Tabla256724[[#This Row],[CANTIDAD REQUERIDA]]-Tabla256724[[#This Row],[CANTIDAD ABASTECIDA]])</f>
        <v>0</v>
      </c>
      <c r="G7" s="54"/>
    </row>
    <row r="8" spans="1:7" x14ac:dyDescent="0.3">
      <c r="A8" s="17">
        <f t="shared" si="0"/>
        <v>4</v>
      </c>
      <c r="B8" s="13" t="s">
        <v>880</v>
      </c>
      <c r="C8" s="47" t="s">
        <v>929</v>
      </c>
      <c r="D8" s="23">
        <v>0</v>
      </c>
      <c r="E8" s="23">
        <v>0</v>
      </c>
      <c r="F8" s="23">
        <f>(Tabla256724[[#This Row],[CANTIDAD REQUERIDA]]-Tabla256724[[#This Row],[CANTIDAD ABASTECIDA]])</f>
        <v>0</v>
      </c>
      <c r="G8" s="54"/>
    </row>
    <row r="9" spans="1:7" x14ac:dyDescent="0.3">
      <c r="A9" s="17">
        <f t="shared" si="0"/>
        <v>5</v>
      </c>
      <c r="B9" s="13" t="s">
        <v>881</v>
      </c>
      <c r="C9" s="47" t="s">
        <v>930</v>
      </c>
      <c r="D9" s="23">
        <v>0</v>
      </c>
      <c r="E9" s="23">
        <v>0</v>
      </c>
      <c r="F9" s="23">
        <f>(Tabla256724[[#This Row],[CANTIDAD REQUERIDA]]-Tabla256724[[#This Row],[CANTIDAD ABASTECIDA]])</f>
        <v>0</v>
      </c>
      <c r="G9" s="54"/>
    </row>
    <row r="10" spans="1:7" x14ac:dyDescent="0.3">
      <c r="A10" s="17">
        <f t="shared" si="0"/>
        <v>6</v>
      </c>
      <c r="B10" s="13" t="s">
        <v>1438</v>
      </c>
      <c r="C10" s="158" t="s">
        <v>1436</v>
      </c>
      <c r="D10" s="23">
        <v>0</v>
      </c>
      <c r="E10" s="23">
        <v>0</v>
      </c>
      <c r="F10" s="23">
        <f>(Tabla256724[[#This Row],[CANTIDAD REQUERIDA]]-Tabla256724[[#This Row],[CANTIDAD ABASTECIDA]])</f>
        <v>0</v>
      </c>
      <c r="G10" s="54"/>
    </row>
    <row r="11" spans="1:7" x14ac:dyDescent="0.3">
      <c r="A11" s="17">
        <f t="shared" si="0"/>
        <v>7</v>
      </c>
      <c r="B11" s="13" t="s">
        <v>882</v>
      </c>
      <c r="C11" s="47" t="s">
        <v>1271</v>
      </c>
      <c r="D11" s="23">
        <v>0</v>
      </c>
      <c r="E11" s="23">
        <v>0</v>
      </c>
      <c r="F11" s="23">
        <f>(Tabla256724[[#This Row],[CANTIDAD REQUERIDA]]-Tabla256724[[#This Row],[CANTIDAD ABASTECIDA]])</f>
        <v>0</v>
      </c>
      <c r="G11" s="54"/>
    </row>
    <row r="12" spans="1:7" x14ac:dyDescent="0.3">
      <c r="A12" s="17">
        <f t="shared" si="0"/>
        <v>8</v>
      </c>
      <c r="B12" s="13" t="s">
        <v>1437</v>
      </c>
      <c r="C12" s="158" t="s">
        <v>1435</v>
      </c>
      <c r="D12" s="23">
        <v>0</v>
      </c>
      <c r="E12" s="23">
        <v>0</v>
      </c>
      <c r="F12" s="23">
        <f>(Tabla256724[[#This Row],[CANTIDAD REQUERIDA]]-Tabla256724[[#This Row],[CANTIDAD ABASTECIDA]])</f>
        <v>0</v>
      </c>
      <c r="G12" s="54"/>
    </row>
    <row r="13" spans="1:7" x14ac:dyDescent="0.3">
      <c r="A13" s="17">
        <f t="shared" si="0"/>
        <v>9</v>
      </c>
      <c r="B13" s="13" t="s">
        <v>883</v>
      </c>
      <c r="C13" s="47" t="s">
        <v>931</v>
      </c>
      <c r="D13" s="23">
        <v>0</v>
      </c>
      <c r="E13" s="23">
        <v>0</v>
      </c>
      <c r="F13" s="23">
        <f>(Tabla256724[[#This Row],[CANTIDAD REQUERIDA]]-Tabla256724[[#This Row],[CANTIDAD ABASTECIDA]])</f>
        <v>0</v>
      </c>
      <c r="G13" s="54"/>
    </row>
    <row r="14" spans="1:7" x14ac:dyDescent="0.3">
      <c r="A14" s="17">
        <f t="shared" si="0"/>
        <v>10</v>
      </c>
      <c r="B14" s="13" t="s">
        <v>884</v>
      </c>
      <c r="C14" s="47" t="s">
        <v>932</v>
      </c>
      <c r="D14" s="23">
        <v>0</v>
      </c>
      <c r="E14" s="23">
        <v>0</v>
      </c>
      <c r="F14" s="23">
        <f>(Tabla256724[[#This Row],[CANTIDAD REQUERIDA]]-Tabla256724[[#This Row],[CANTIDAD ABASTECIDA]])</f>
        <v>0</v>
      </c>
      <c r="G14" s="54"/>
    </row>
    <row r="15" spans="1:7" x14ac:dyDescent="0.3">
      <c r="A15" s="17">
        <f t="shared" si="0"/>
        <v>11</v>
      </c>
      <c r="B15" s="13" t="s">
        <v>885</v>
      </c>
      <c r="C15" s="47" t="s">
        <v>933</v>
      </c>
      <c r="D15" s="23">
        <v>0</v>
      </c>
      <c r="E15" s="23">
        <v>0</v>
      </c>
      <c r="F15" s="23">
        <f>(Tabla256724[[#This Row],[CANTIDAD REQUERIDA]]-Tabla256724[[#This Row],[CANTIDAD ABASTECIDA]])</f>
        <v>0</v>
      </c>
      <c r="G15" s="54"/>
    </row>
    <row r="16" spans="1:7" x14ac:dyDescent="0.3">
      <c r="A16" s="17">
        <f t="shared" si="0"/>
        <v>12</v>
      </c>
      <c r="B16" s="13" t="s">
        <v>886</v>
      </c>
      <c r="C16" s="47" t="s">
        <v>934</v>
      </c>
      <c r="D16" s="23">
        <v>0</v>
      </c>
      <c r="E16" s="23">
        <v>0</v>
      </c>
      <c r="F16" s="23">
        <f>(Tabla256724[[#This Row],[CANTIDAD REQUERIDA]]-Tabla256724[[#This Row],[CANTIDAD ABASTECIDA]])</f>
        <v>0</v>
      </c>
      <c r="G16" s="54"/>
    </row>
    <row r="17" spans="1:7" x14ac:dyDescent="0.3">
      <c r="A17" s="17">
        <f t="shared" si="0"/>
        <v>13</v>
      </c>
      <c r="B17" s="13" t="s">
        <v>887</v>
      </c>
      <c r="C17" s="47" t="s">
        <v>935</v>
      </c>
      <c r="D17" s="23">
        <v>0</v>
      </c>
      <c r="E17" s="23">
        <v>0</v>
      </c>
      <c r="F17" s="23">
        <f>(Tabla256724[[#This Row],[CANTIDAD REQUERIDA]]-Tabla256724[[#This Row],[CANTIDAD ABASTECIDA]])</f>
        <v>0</v>
      </c>
      <c r="G17" s="54"/>
    </row>
    <row r="18" spans="1:7" x14ac:dyDescent="0.3">
      <c r="A18" s="17">
        <f t="shared" si="0"/>
        <v>14</v>
      </c>
      <c r="B18" s="13" t="s">
        <v>888</v>
      </c>
      <c r="C18" s="47" t="s">
        <v>936</v>
      </c>
      <c r="D18" s="23">
        <v>0</v>
      </c>
      <c r="E18" s="23">
        <v>0</v>
      </c>
      <c r="F18" s="23">
        <f>(Tabla256724[[#This Row],[CANTIDAD REQUERIDA]]-Tabla256724[[#This Row],[CANTIDAD ABASTECIDA]])</f>
        <v>0</v>
      </c>
      <c r="G18" s="54"/>
    </row>
    <row r="19" spans="1:7" x14ac:dyDescent="0.3">
      <c r="A19" s="17">
        <f t="shared" si="0"/>
        <v>15</v>
      </c>
      <c r="B19" s="13" t="s">
        <v>889</v>
      </c>
      <c r="C19" s="47" t="s">
        <v>937</v>
      </c>
      <c r="D19" s="23">
        <v>0</v>
      </c>
      <c r="E19" s="23">
        <v>0</v>
      </c>
      <c r="F19" s="23">
        <f>(Tabla256724[[#This Row],[CANTIDAD REQUERIDA]]-Tabla256724[[#This Row],[CANTIDAD ABASTECIDA]])</f>
        <v>0</v>
      </c>
      <c r="G19" s="54"/>
    </row>
    <row r="20" spans="1:7" x14ac:dyDescent="0.3">
      <c r="A20" s="17">
        <f t="shared" si="0"/>
        <v>16</v>
      </c>
      <c r="B20" s="13" t="s">
        <v>890</v>
      </c>
      <c r="C20" s="47" t="s">
        <v>938</v>
      </c>
      <c r="D20" s="23">
        <v>0</v>
      </c>
      <c r="E20" s="23">
        <v>0</v>
      </c>
      <c r="F20" s="23">
        <f>(Tabla256724[[#This Row],[CANTIDAD REQUERIDA]]-Tabla256724[[#This Row],[CANTIDAD ABASTECIDA]])</f>
        <v>0</v>
      </c>
      <c r="G20" s="54"/>
    </row>
    <row r="21" spans="1:7" x14ac:dyDescent="0.3">
      <c r="A21" s="17">
        <f t="shared" si="0"/>
        <v>17</v>
      </c>
      <c r="B21" s="13" t="s">
        <v>891</v>
      </c>
      <c r="C21" s="47" t="s">
        <v>939</v>
      </c>
      <c r="D21" s="23">
        <v>0</v>
      </c>
      <c r="E21" s="23">
        <v>0</v>
      </c>
      <c r="F21" s="23">
        <f>(Tabla256724[[#This Row],[CANTIDAD REQUERIDA]]-Tabla256724[[#This Row],[CANTIDAD ABASTECIDA]])</f>
        <v>0</v>
      </c>
      <c r="G21" s="54"/>
    </row>
    <row r="22" spans="1:7" x14ac:dyDescent="0.3">
      <c r="A22" s="17">
        <f t="shared" si="0"/>
        <v>18</v>
      </c>
      <c r="B22" s="13" t="s">
        <v>892</v>
      </c>
      <c r="C22" s="47" t="s">
        <v>1432</v>
      </c>
      <c r="D22" s="23">
        <v>0</v>
      </c>
      <c r="E22" s="23">
        <v>0</v>
      </c>
      <c r="F22" s="23">
        <f>(Tabla256724[[#This Row],[CANTIDAD REQUERIDA]]-Tabla256724[[#This Row],[CANTIDAD ABASTECIDA]])</f>
        <v>0</v>
      </c>
      <c r="G22" s="54"/>
    </row>
    <row r="23" spans="1:7" x14ac:dyDescent="0.3">
      <c r="A23" s="17">
        <f t="shared" si="0"/>
        <v>19</v>
      </c>
      <c r="B23" s="13" t="s">
        <v>893</v>
      </c>
      <c r="C23" s="47" t="s">
        <v>940</v>
      </c>
      <c r="D23" s="23">
        <v>0</v>
      </c>
      <c r="E23" s="23">
        <v>0</v>
      </c>
      <c r="F23" s="23">
        <f>(Tabla256724[[#This Row],[CANTIDAD REQUERIDA]]-Tabla256724[[#This Row],[CANTIDAD ABASTECIDA]])</f>
        <v>0</v>
      </c>
      <c r="G23" s="54"/>
    </row>
    <row r="24" spans="1:7" x14ac:dyDescent="0.3">
      <c r="A24" s="17">
        <f t="shared" si="0"/>
        <v>20</v>
      </c>
      <c r="B24" s="13" t="s">
        <v>894</v>
      </c>
      <c r="C24" s="47" t="s">
        <v>1131</v>
      </c>
      <c r="D24" s="23">
        <v>0</v>
      </c>
      <c r="E24" s="23">
        <v>0</v>
      </c>
      <c r="F24" s="23">
        <f>(Tabla256724[[#This Row],[CANTIDAD REQUERIDA]]-Tabla256724[[#This Row],[CANTIDAD ABASTECIDA]])</f>
        <v>0</v>
      </c>
      <c r="G24" s="54"/>
    </row>
    <row r="25" spans="1:7" x14ac:dyDescent="0.3">
      <c r="A25" s="17">
        <f t="shared" si="0"/>
        <v>21</v>
      </c>
      <c r="B25" s="13" t="s">
        <v>895</v>
      </c>
      <c r="C25" s="158" t="s">
        <v>1246</v>
      </c>
      <c r="D25" s="23">
        <v>0</v>
      </c>
      <c r="E25" s="23">
        <v>0</v>
      </c>
      <c r="F25" s="23">
        <f>(Tabla256724[[#This Row],[CANTIDAD REQUERIDA]]-Tabla256724[[#This Row],[CANTIDAD ABASTECIDA]])</f>
        <v>0</v>
      </c>
      <c r="G25" s="54"/>
    </row>
    <row r="26" spans="1:7" x14ac:dyDescent="0.3">
      <c r="A26" s="17">
        <f t="shared" si="0"/>
        <v>22</v>
      </c>
      <c r="B26" s="13" t="s">
        <v>896</v>
      </c>
      <c r="C26" s="47" t="s">
        <v>1132</v>
      </c>
      <c r="D26" s="23">
        <v>0</v>
      </c>
      <c r="E26" s="23">
        <v>0</v>
      </c>
      <c r="F26" s="23">
        <f>(Tabla256724[[#This Row],[CANTIDAD REQUERIDA]]-Tabla256724[[#This Row],[CANTIDAD ABASTECIDA]])</f>
        <v>0</v>
      </c>
      <c r="G26" s="54"/>
    </row>
    <row r="27" spans="1:7" x14ac:dyDescent="0.3">
      <c r="A27" s="17">
        <f t="shared" si="0"/>
        <v>23</v>
      </c>
      <c r="B27" s="13" t="s">
        <v>897</v>
      </c>
      <c r="C27" s="47" t="s">
        <v>941</v>
      </c>
      <c r="D27" s="23">
        <v>0</v>
      </c>
      <c r="E27" s="23">
        <v>0</v>
      </c>
      <c r="F27" s="23">
        <f>(Tabla256724[[#This Row],[CANTIDAD REQUERIDA]]-Tabla256724[[#This Row],[CANTIDAD ABASTECIDA]])</f>
        <v>0</v>
      </c>
      <c r="G27" s="54"/>
    </row>
    <row r="28" spans="1:7" x14ac:dyDescent="0.3">
      <c r="A28" s="17">
        <f t="shared" si="0"/>
        <v>24</v>
      </c>
      <c r="B28" s="13" t="s">
        <v>898</v>
      </c>
      <c r="C28" s="47" t="s">
        <v>942</v>
      </c>
      <c r="D28" s="23">
        <v>0</v>
      </c>
      <c r="E28" s="23">
        <v>0</v>
      </c>
      <c r="F28" s="23">
        <f>(Tabla256724[[#This Row],[CANTIDAD REQUERIDA]]-Tabla256724[[#This Row],[CANTIDAD ABASTECIDA]])</f>
        <v>0</v>
      </c>
      <c r="G28" s="54"/>
    </row>
    <row r="29" spans="1:7" x14ac:dyDescent="0.3">
      <c r="A29" s="17">
        <f t="shared" si="0"/>
        <v>25</v>
      </c>
      <c r="B29" s="13" t="s">
        <v>899</v>
      </c>
      <c r="C29" s="158" t="s">
        <v>1250</v>
      </c>
      <c r="D29" s="23">
        <v>0</v>
      </c>
      <c r="E29" s="23">
        <v>0</v>
      </c>
      <c r="F29" s="23">
        <f>(Tabla256724[[#This Row],[CANTIDAD REQUERIDA]]-Tabla256724[[#This Row],[CANTIDAD ABASTECIDA]])</f>
        <v>0</v>
      </c>
      <c r="G29" s="54"/>
    </row>
    <row r="30" spans="1:7" x14ac:dyDescent="0.3">
      <c r="A30" s="17">
        <f t="shared" si="0"/>
        <v>26</v>
      </c>
      <c r="B30" s="13" t="s">
        <v>900</v>
      </c>
      <c r="C30" s="158" t="s">
        <v>1251</v>
      </c>
      <c r="D30" s="23">
        <v>0</v>
      </c>
      <c r="E30" s="23">
        <v>0</v>
      </c>
      <c r="F30" s="23">
        <f>(Tabla256724[[#This Row],[CANTIDAD REQUERIDA]]-Tabla256724[[#This Row],[CANTIDAD ABASTECIDA]])</f>
        <v>0</v>
      </c>
      <c r="G30" s="54"/>
    </row>
    <row r="31" spans="1:7" x14ac:dyDescent="0.3">
      <c r="A31" s="17">
        <f t="shared" si="0"/>
        <v>27</v>
      </c>
      <c r="B31" s="13" t="s">
        <v>901</v>
      </c>
      <c r="C31" s="158" t="s">
        <v>1252</v>
      </c>
      <c r="D31" s="23">
        <v>0</v>
      </c>
      <c r="E31" s="23">
        <v>0</v>
      </c>
      <c r="F31" s="23">
        <f>(Tabla256724[[#This Row],[CANTIDAD REQUERIDA]]-Tabla256724[[#This Row],[CANTIDAD ABASTECIDA]])</f>
        <v>0</v>
      </c>
      <c r="G31" s="54"/>
    </row>
    <row r="32" spans="1:7" x14ac:dyDescent="0.3">
      <c r="A32" s="17">
        <f t="shared" si="0"/>
        <v>28</v>
      </c>
      <c r="B32" s="13" t="s">
        <v>902</v>
      </c>
      <c r="C32" s="158" t="s">
        <v>1253</v>
      </c>
      <c r="D32" s="23">
        <v>0</v>
      </c>
      <c r="E32" s="23">
        <v>0</v>
      </c>
      <c r="F32" s="23">
        <f>(Tabla256724[[#This Row],[CANTIDAD REQUERIDA]]-Tabla256724[[#This Row],[CANTIDAD ABASTECIDA]])</f>
        <v>0</v>
      </c>
      <c r="G32" s="54"/>
    </row>
    <row r="33" spans="1:7" x14ac:dyDescent="0.3">
      <c r="A33" s="17">
        <f t="shared" si="0"/>
        <v>29</v>
      </c>
      <c r="B33" s="13" t="s">
        <v>903</v>
      </c>
      <c r="C33" s="47" t="s">
        <v>1285</v>
      </c>
      <c r="D33" s="23">
        <v>0</v>
      </c>
      <c r="E33" s="23">
        <v>0</v>
      </c>
      <c r="F33" s="23">
        <f>(Tabla256724[[#This Row],[CANTIDAD REQUERIDA]]-Tabla256724[[#This Row],[CANTIDAD ABASTECIDA]])</f>
        <v>0</v>
      </c>
      <c r="G33" s="54"/>
    </row>
    <row r="34" spans="1:7" x14ac:dyDescent="0.3">
      <c r="A34" s="17">
        <f t="shared" si="0"/>
        <v>30</v>
      </c>
      <c r="B34" s="13" t="s">
        <v>904</v>
      </c>
      <c r="C34" s="47" t="s">
        <v>1133</v>
      </c>
      <c r="D34" s="23">
        <v>0</v>
      </c>
      <c r="E34" s="23">
        <v>0</v>
      </c>
      <c r="F34" s="23">
        <f>(Tabla256724[[#This Row],[CANTIDAD REQUERIDA]]-Tabla256724[[#This Row],[CANTIDAD ABASTECIDA]])</f>
        <v>0</v>
      </c>
      <c r="G34" s="54"/>
    </row>
    <row r="35" spans="1:7" x14ac:dyDescent="0.3">
      <c r="A35" s="17">
        <f t="shared" si="0"/>
        <v>31</v>
      </c>
      <c r="B35" s="13" t="s">
        <v>905</v>
      </c>
      <c r="C35" s="47" t="s">
        <v>1233</v>
      </c>
      <c r="D35" s="23">
        <v>0</v>
      </c>
      <c r="E35" s="23">
        <v>0</v>
      </c>
      <c r="F35" s="23">
        <f>(Tabla256724[[#This Row],[CANTIDAD REQUERIDA]]-Tabla256724[[#This Row],[CANTIDAD ABASTECIDA]])</f>
        <v>0</v>
      </c>
      <c r="G35" s="54"/>
    </row>
    <row r="36" spans="1:7" x14ac:dyDescent="0.3">
      <c r="A36" s="17">
        <f t="shared" si="0"/>
        <v>32</v>
      </c>
      <c r="B36" s="13" t="s">
        <v>906</v>
      </c>
      <c r="C36" s="47" t="s">
        <v>943</v>
      </c>
      <c r="D36" s="23">
        <v>0</v>
      </c>
      <c r="E36" s="23">
        <v>0</v>
      </c>
      <c r="F36" s="23">
        <f>(Tabla256724[[#This Row],[CANTIDAD REQUERIDA]]-Tabla256724[[#This Row],[CANTIDAD ABASTECIDA]])</f>
        <v>0</v>
      </c>
      <c r="G36" s="54"/>
    </row>
    <row r="37" spans="1:7" x14ac:dyDescent="0.3">
      <c r="A37" s="17">
        <f t="shared" ref="A37:A68" si="1">ROW(A37)-4</f>
        <v>33</v>
      </c>
      <c r="B37" s="13" t="s">
        <v>907</v>
      </c>
      <c r="C37" s="47" t="s">
        <v>944</v>
      </c>
      <c r="D37" s="23">
        <v>0</v>
      </c>
      <c r="E37" s="23">
        <v>0</v>
      </c>
      <c r="F37" s="23">
        <f>(Tabla256724[[#This Row],[CANTIDAD REQUERIDA]]-Tabla256724[[#This Row],[CANTIDAD ABASTECIDA]])</f>
        <v>0</v>
      </c>
      <c r="G37" s="54"/>
    </row>
    <row r="38" spans="1:7" x14ac:dyDescent="0.3">
      <c r="A38" s="17">
        <f t="shared" si="1"/>
        <v>34</v>
      </c>
      <c r="B38" s="13" t="s">
        <v>908</v>
      </c>
      <c r="C38" s="47" t="s">
        <v>781</v>
      </c>
      <c r="D38" s="23">
        <v>0</v>
      </c>
      <c r="E38" s="23">
        <v>0</v>
      </c>
      <c r="F38" s="23">
        <f>(Tabla256724[[#This Row],[CANTIDAD REQUERIDA]]-Tabla256724[[#This Row],[CANTIDAD ABASTECIDA]])</f>
        <v>0</v>
      </c>
      <c r="G38" s="54"/>
    </row>
    <row r="39" spans="1:7" x14ac:dyDescent="0.3">
      <c r="A39" s="17">
        <f t="shared" si="1"/>
        <v>35</v>
      </c>
      <c r="B39" s="13" t="s">
        <v>909</v>
      </c>
      <c r="C39" s="47" t="s">
        <v>945</v>
      </c>
      <c r="D39" s="23">
        <v>0</v>
      </c>
      <c r="E39" s="23">
        <v>0</v>
      </c>
      <c r="F39" s="23">
        <f>(Tabla256724[[#This Row],[CANTIDAD REQUERIDA]]-Tabla256724[[#This Row],[CANTIDAD ABASTECIDA]])</f>
        <v>0</v>
      </c>
      <c r="G39" s="54"/>
    </row>
    <row r="40" spans="1:7" x14ac:dyDescent="0.3">
      <c r="A40" s="17">
        <f t="shared" si="1"/>
        <v>36</v>
      </c>
      <c r="B40" s="13" t="s">
        <v>910</v>
      </c>
      <c r="C40" s="47" t="s">
        <v>946</v>
      </c>
      <c r="D40" s="23">
        <v>0</v>
      </c>
      <c r="E40" s="23">
        <v>0</v>
      </c>
      <c r="F40" s="23">
        <f>(Tabla256724[[#This Row],[CANTIDAD REQUERIDA]]-Tabla256724[[#This Row],[CANTIDAD ABASTECIDA]])</f>
        <v>0</v>
      </c>
      <c r="G40" s="54"/>
    </row>
    <row r="41" spans="1:7" x14ac:dyDescent="0.3">
      <c r="A41" s="17">
        <f t="shared" si="1"/>
        <v>37</v>
      </c>
      <c r="B41" s="13" t="s">
        <v>911</v>
      </c>
      <c r="C41" s="47" t="s">
        <v>947</v>
      </c>
      <c r="D41" s="23">
        <v>0</v>
      </c>
      <c r="E41" s="23">
        <v>0</v>
      </c>
      <c r="F41" s="23">
        <f>(Tabla256724[[#This Row],[CANTIDAD REQUERIDA]]-Tabla256724[[#This Row],[CANTIDAD ABASTECIDA]])</f>
        <v>0</v>
      </c>
      <c r="G41" s="54"/>
    </row>
    <row r="42" spans="1:7" x14ac:dyDescent="0.3">
      <c r="A42" s="17">
        <f t="shared" si="1"/>
        <v>38</v>
      </c>
      <c r="B42" s="13" t="s">
        <v>912</v>
      </c>
      <c r="C42" s="47" t="s">
        <v>948</v>
      </c>
      <c r="D42" s="23">
        <v>0</v>
      </c>
      <c r="E42" s="23">
        <v>0</v>
      </c>
      <c r="F42" s="23">
        <f>(Tabla256724[[#This Row],[CANTIDAD REQUERIDA]]-Tabla256724[[#This Row],[CANTIDAD ABASTECIDA]])</f>
        <v>0</v>
      </c>
      <c r="G42" s="54"/>
    </row>
    <row r="43" spans="1:7" x14ac:dyDescent="0.3">
      <c r="A43" s="17">
        <f t="shared" si="1"/>
        <v>39</v>
      </c>
      <c r="B43" s="13" t="s">
        <v>913</v>
      </c>
      <c r="C43" s="47" t="s">
        <v>949</v>
      </c>
      <c r="D43" s="23">
        <v>0</v>
      </c>
      <c r="E43" s="23">
        <v>0</v>
      </c>
      <c r="F43" s="23">
        <f>(Tabla256724[[#This Row],[CANTIDAD REQUERIDA]]-Tabla256724[[#This Row],[CANTIDAD ABASTECIDA]])</f>
        <v>0</v>
      </c>
      <c r="G43" s="54"/>
    </row>
    <row r="44" spans="1:7" x14ac:dyDescent="0.3">
      <c r="A44" s="17">
        <f t="shared" si="1"/>
        <v>40</v>
      </c>
      <c r="B44" s="13" t="s">
        <v>1336</v>
      </c>
      <c r="C44" s="158" t="s">
        <v>1334</v>
      </c>
      <c r="D44" s="23">
        <v>0</v>
      </c>
      <c r="E44" s="23">
        <v>0</v>
      </c>
      <c r="F44" s="23">
        <f>(Tabla256724[[#This Row],[CANTIDAD REQUERIDA]]-Tabla256724[[#This Row],[CANTIDAD ABASTECIDA]])</f>
        <v>0</v>
      </c>
      <c r="G44" s="54"/>
    </row>
    <row r="45" spans="1:7" x14ac:dyDescent="0.3">
      <c r="A45" s="17">
        <f t="shared" si="1"/>
        <v>41</v>
      </c>
      <c r="B45" s="13" t="s">
        <v>1337</v>
      </c>
      <c r="C45" s="158" t="s">
        <v>1335</v>
      </c>
      <c r="D45" s="23">
        <v>0</v>
      </c>
      <c r="E45" s="23">
        <v>0</v>
      </c>
      <c r="F45" s="23">
        <f>(Tabla256724[[#This Row],[CANTIDAD REQUERIDA]]-Tabla256724[[#This Row],[CANTIDAD ABASTECIDA]])</f>
        <v>0</v>
      </c>
      <c r="G45" s="54"/>
    </row>
    <row r="46" spans="1:7" x14ac:dyDescent="0.3">
      <c r="A46" s="17">
        <f t="shared" si="1"/>
        <v>42</v>
      </c>
      <c r="B46" s="13" t="s">
        <v>914</v>
      </c>
      <c r="C46" s="47" t="s">
        <v>950</v>
      </c>
      <c r="D46" s="23">
        <v>0</v>
      </c>
      <c r="E46" s="23">
        <v>0</v>
      </c>
      <c r="F46" s="23">
        <f>(Tabla256724[[#This Row],[CANTIDAD REQUERIDA]]-Tabla256724[[#This Row],[CANTIDAD ABASTECIDA]])</f>
        <v>0</v>
      </c>
      <c r="G46" s="54"/>
    </row>
    <row r="47" spans="1:7" x14ac:dyDescent="0.3">
      <c r="A47" s="17">
        <f t="shared" si="1"/>
        <v>43</v>
      </c>
      <c r="B47" s="13" t="s">
        <v>915</v>
      </c>
      <c r="C47" s="47" t="s">
        <v>951</v>
      </c>
      <c r="D47" s="23">
        <v>0</v>
      </c>
      <c r="E47" s="23">
        <v>0</v>
      </c>
      <c r="F47" s="23">
        <f>(Tabla256724[[#This Row],[CANTIDAD REQUERIDA]]-Tabla256724[[#This Row],[CANTIDAD ABASTECIDA]])</f>
        <v>0</v>
      </c>
      <c r="G47" s="54"/>
    </row>
    <row r="48" spans="1:7" x14ac:dyDescent="0.3">
      <c r="A48" s="17">
        <f t="shared" si="1"/>
        <v>44</v>
      </c>
      <c r="B48" s="13" t="s">
        <v>916</v>
      </c>
      <c r="C48" s="47" t="s">
        <v>952</v>
      </c>
      <c r="D48" s="23">
        <v>0</v>
      </c>
      <c r="E48" s="23">
        <v>0</v>
      </c>
      <c r="F48" s="23">
        <f>(Tabla256724[[#This Row],[CANTIDAD REQUERIDA]]-Tabla256724[[#This Row],[CANTIDAD ABASTECIDA]])</f>
        <v>0</v>
      </c>
      <c r="G48" s="54"/>
    </row>
    <row r="49" spans="1:7" x14ac:dyDescent="0.3">
      <c r="A49" s="17">
        <f t="shared" si="1"/>
        <v>45</v>
      </c>
      <c r="B49" s="13" t="s">
        <v>1344</v>
      </c>
      <c r="C49" s="158" t="s">
        <v>1343</v>
      </c>
      <c r="D49" s="23">
        <v>0</v>
      </c>
      <c r="E49" s="23">
        <v>0</v>
      </c>
      <c r="F49" s="23">
        <f>(Tabla256724[[#This Row],[CANTIDAD REQUERIDA]]-Tabla256724[[#This Row],[CANTIDAD ABASTECIDA]])</f>
        <v>0</v>
      </c>
      <c r="G49" s="54"/>
    </row>
    <row r="50" spans="1:7" x14ac:dyDescent="0.3">
      <c r="A50" s="17">
        <f t="shared" si="1"/>
        <v>46</v>
      </c>
      <c r="B50" s="13" t="s">
        <v>917</v>
      </c>
      <c r="C50" s="47" t="s">
        <v>1342</v>
      </c>
      <c r="D50" s="23">
        <v>0</v>
      </c>
      <c r="E50" s="23">
        <v>0</v>
      </c>
      <c r="F50" s="23">
        <f>(Tabla256724[[#This Row],[CANTIDAD REQUERIDA]]-Tabla256724[[#This Row],[CANTIDAD ABASTECIDA]])</f>
        <v>0</v>
      </c>
      <c r="G50" s="54"/>
    </row>
    <row r="51" spans="1:7" x14ac:dyDescent="0.3">
      <c r="A51" s="17">
        <f t="shared" si="1"/>
        <v>47</v>
      </c>
      <c r="B51" s="13" t="s">
        <v>918</v>
      </c>
      <c r="C51" s="47" t="s">
        <v>953</v>
      </c>
      <c r="D51" s="23">
        <v>0</v>
      </c>
      <c r="E51" s="23">
        <v>0</v>
      </c>
      <c r="F51" s="23">
        <f>(Tabla256724[[#This Row],[CANTIDAD REQUERIDA]]-Tabla256724[[#This Row],[CANTIDAD ABASTECIDA]])</f>
        <v>0</v>
      </c>
      <c r="G51" s="54"/>
    </row>
    <row r="52" spans="1:7" x14ac:dyDescent="0.3">
      <c r="A52" s="17">
        <f t="shared" si="1"/>
        <v>48</v>
      </c>
      <c r="B52" s="13" t="s">
        <v>919</v>
      </c>
      <c r="C52" s="47" t="s">
        <v>954</v>
      </c>
      <c r="D52" s="23">
        <v>0</v>
      </c>
      <c r="E52" s="23">
        <v>0</v>
      </c>
      <c r="F52" s="23">
        <f>(Tabla256724[[#This Row],[CANTIDAD REQUERIDA]]-Tabla256724[[#This Row],[CANTIDAD ABASTECIDA]])</f>
        <v>0</v>
      </c>
      <c r="G52" s="54"/>
    </row>
    <row r="53" spans="1:7" x14ac:dyDescent="0.3">
      <c r="A53" s="17">
        <f t="shared" si="1"/>
        <v>49</v>
      </c>
      <c r="B53" s="13" t="s">
        <v>920</v>
      </c>
      <c r="C53" s="47" t="s">
        <v>955</v>
      </c>
      <c r="D53" s="23">
        <v>0</v>
      </c>
      <c r="E53" s="23">
        <v>0</v>
      </c>
      <c r="F53" s="23">
        <f>(Tabla256724[[#This Row],[CANTIDAD REQUERIDA]]-Tabla256724[[#This Row],[CANTIDAD ABASTECIDA]])</f>
        <v>0</v>
      </c>
      <c r="G53" s="54"/>
    </row>
    <row r="54" spans="1:7" x14ac:dyDescent="0.3">
      <c r="A54" s="17">
        <f t="shared" si="1"/>
        <v>50</v>
      </c>
      <c r="B54" s="13" t="s">
        <v>921</v>
      </c>
      <c r="C54" s="47" t="s">
        <v>783</v>
      </c>
      <c r="D54" s="23">
        <v>0</v>
      </c>
      <c r="E54" s="23">
        <v>0</v>
      </c>
      <c r="F54" s="23">
        <f>(Tabla256724[[#This Row],[CANTIDAD REQUERIDA]]-Tabla256724[[#This Row],[CANTIDAD ABASTECIDA]])</f>
        <v>0</v>
      </c>
      <c r="G54" s="54"/>
    </row>
    <row r="55" spans="1:7" x14ac:dyDescent="0.3">
      <c r="A55" s="17">
        <f t="shared" si="1"/>
        <v>51</v>
      </c>
      <c r="B55" s="13" t="s">
        <v>922</v>
      </c>
      <c r="C55" s="47" t="s">
        <v>956</v>
      </c>
      <c r="D55" s="23">
        <v>0</v>
      </c>
      <c r="E55" s="23">
        <v>0</v>
      </c>
      <c r="F55" s="23">
        <f>(Tabla256724[[#This Row],[CANTIDAD REQUERIDA]]-Tabla256724[[#This Row],[CANTIDAD ABASTECIDA]])</f>
        <v>0</v>
      </c>
      <c r="G55" s="54"/>
    </row>
    <row r="56" spans="1:7" x14ac:dyDescent="0.3">
      <c r="A56" s="17">
        <f t="shared" si="1"/>
        <v>52</v>
      </c>
      <c r="B56" s="13" t="s">
        <v>923</v>
      </c>
      <c r="C56" s="47" t="s">
        <v>957</v>
      </c>
      <c r="D56" s="23">
        <v>0</v>
      </c>
      <c r="E56" s="23">
        <v>0</v>
      </c>
      <c r="F56" s="23">
        <f>(Tabla256724[[#This Row],[CANTIDAD REQUERIDA]]-Tabla256724[[#This Row],[CANTIDAD ABASTECIDA]])</f>
        <v>0</v>
      </c>
      <c r="G56" s="54"/>
    </row>
    <row r="57" spans="1:7" x14ac:dyDescent="0.3">
      <c r="A57" s="17">
        <f t="shared" si="1"/>
        <v>53</v>
      </c>
      <c r="B57" s="13" t="s">
        <v>1340</v>
      </c>
      <c r="C57" s="158" t="s">
        <v>1338</v>
      </c>
      <c r="D57" s="23">
        <v>0</v>
      </c>
      <c r="E57" s="23">
        <v>0</v>
      </c>
      <c r="F57" s="23">
        <f>(Tabla256724[[#This Row],[CANTIDAD REQUERIDA]]-Tabla256724[[#This Row],[CANTIDAD ABASTECIDA]])</f>
        <v>0</v>
      </c>
      <c r="G57" s="54"/>
    </row>
    <row r="58" spans="1:7" x14ac:dyDescent="0.3">
      <c r="A58" s="17">
        <f t="shared" si="1"/>
        <v>54</v>
      </c>
      <c r="B58" s="13" t="s">
        <v>924</v>
      </c>
      <c r="C58" s="47" t="s">
        <v>1272</v>
      </c>
      <c r="D58" s="23">
        <v>0</v>
      </c>
      <c r="E58" s="23">
        <v>0</v>
      </c>
      <c r="F58" s="23">
        <f>(Tabla256724[[#This Row],[CANTIDAD REQUERIDA]]-Tabla256724[[#This Row],[CANTIDAD ABASTECIDA]])</f>
        <v>0</v>
      </c>
      <c r="G58" s="54"/>
    </row>
    <row r="59" spans="1:7" x14ac:dyDescent="0.3">
      <c r="A59" s="17">
        <f t="shared" si="1"/>
        <v>55</v>
      </c>
      <c r="B59" s="13" t="s">
        <v>925</v>
      </c>
      <c r="C59" s="47" t="s">
        <v>958</v>
      </c>
      <c r="D59" s="23">
        <v>0</v>
      </c>
      <c r="E59" s="23">
        <v>0</v>
      </c>
      <c r="F59" s="23">
        <f>(Tabla256724[[#This Row],[CANTIDAD REQUERIDA]]-Tabla256724[[#This Row],[CANTIDAD ABASTECIDA]])</f>
        <v>0</v>
      </c>
      <c r="G59" s="54"/>
    </row>
    <row r="60" spans="1:7" x14ac:dyDescent="0.3">
      <c r="A60" s="17">
        <f t="shared" si="1"/>
        <v>56</v>
      </c>
      <c r="B60" s="13" t="s">
        <v>962</v>
      </c>
      <c r="C60" s="47" t="s">
        <v>1134</v>
      </c>
      <c r="D60" s="23">
        <v>0</v>
      </c>
      <c r="E60" s="23">
        <v>0</v>
      </c>
      <c r="F60" s="23">
        <f>(Tabla256724[[#This Row],[CANTIDAD REQUERIDA]]-Tabla256724[[#This Row],[CANTIDAD ABASTECIDA]])</f>
        <v>0</v>
      </c>
      <c r="G60" s="54"/>
    </row>
    <row r="61" spans="1:7" x14ac:dyDescent="0.3">
      <c r="A61" s="17">
        <f t="shared" si="1"/>
        <v>57</v>
      </c>
      <c r="B61" s="13" t="s">
        <v>963</v>
      </c>
      <c r="C61" s="47" t="s">
        <v>959</v>
      </c>
      <c r="D61" s="23">
        <v>0</v>
      </c>
      <c r="E61" s="23">
        <v>0</v>
      </c>
      <c r="F61" s="23">
        <f>(Tabla256724[[#This Row],[CANTIDAD REQUERIDA]]-Tabla256724[[#This Row],[CANTIDAD ABASTECIDA]])</f>
        <v>0</v>
      </c>
      <c r="G61" s="54"/>
    </row>
    <row r="62" spans="1:7" x14ac:dyDescent="0.3">
      <c r="A62" s="17">
        <f t="shared" si="1"/>
        <v>58</v>
      </c>
      <c r="B62" s="13" t="s">
        <v>964</v>
      </c>
      <c r="C62" s="47" t="s">
        <v>960</v>
      </c>
      <c r="D62" s="23">
        <v>0</v>
      </c>
      <c r="E62" s="23">
        <v>0</v>
      </c>
      <c r="F62" s="23">
        <f>(Tabla256724[[#This Row],[CANTIDAD REQUERIDA]]-Tabla256724[[#This Row],[CANTIDAD ABASTECIDA]])</f>
        <v>0</v>
      </c>
      <c r="G62" s="54"/>
    </row>
    <row r="63" spans="1:7" x14ac:dyDescent="0.3">
      <c r="A63" s="27">
        <f t="shared" si="1"/>
        <v>59</v>
      </c>
      <c r="B63" s="13" t="s">
        <v>965</v>
      </c>
      <c r="C63" s="159" t="s">
        <v>961</v>
      </c>
      <c r="D63" s="23">
        <v>0</v>
      </c>
      <c r="E63" s="23">
        <v>0</v>
      </c>
      <c r="F63" s="23">
        <f>(Tabla256724[[#This Row],[CANTIDAD REQUERIDA]]-Tabla256724[[#This Row],[CANTIDAD ABASTECIDA]])</f>
        <v>0</v>
      </c>
      <c r="G63" s="54"/>
    </row>
    <row r="64" spans="1:7" x14ac:dyDescent="0.3">
      <c r="A64" s="27">
        <f t="shared" si="1"/>
        <v>60</v>
      </c>
      <c r="B64" s="13" t="s">
        <v>966</v>
      </c>
      <c r="C64" s="159" t="s">
        <v>1441</v>
      </c>
      <c r="D64" s="23">
        <v>0</v>
      </c>
      <c r="E64" s="23">
        <v>0</v>
      </c>
      <c r="F64" s="23">
        <f>(Tabla256724[[#This Row],[CANTIDAD REQUERIDA]]-Tabla256724[[#This Row],[CANTIDAD ABASTECIDA]])</f>
        <v>0</v>
      </c>
      <c r="G64" s="54"/>
    </row>
    <row r="65" spans="1:7" x14ac:dyDescent="0.3">
      <c r="A65" s="27">
        <f t="shared" si="1"/>
        <v>61</v>
      </c>
      <c r="B65" s="13" t="s">
        <v>967</v>
      </c>
      <c r="C65" s="162" t="s">
        <v>1254</v>
      </c>
      <c r="D65" s="23">
        <v>0</v>
      </c>
      <c r="E65" s="23">
        <v>0</v>
      </c>
      <c r="F65" s="23">
        <f>(Tabla256724[[#This Row],[CANTIDAD REQUERIDA]]-Tabla256724[[#This Row],[CANTIDAD ABASTECIDA]])</f>
        <v>0</v>
      </c>
      <c r="G65" s="54"/>
    </row>
    <row r="66" spans="1:7" x14ac:dyDescent="0.3">
      <c r="A66" s="27">
        <f t="shared" si="1"/>
        <v>62</v>
      </c>
      <c r="B66" s="13" t="s">
        <v>968</v>
      </c>
      <c r="C66" s="159" t="s">
        <v>1290</v>
      </c>
      <c r="D66" s="23">
        <v>0</v>
      </c>
      <c r="E66" s="23">
        <v>0</v>
      </c>
      <c r="F66" s="23">
        <f>(Tabla256724[[#This Row],[CANTIDAD REQUERIDA]]-Tabla256724[[#This Row],[CANTIDAD ABASTECIDA]])</f>
        <v>0</v>
      </c>
      <c r="G66" s="54"/>
    </row>
    <row r="67" spans="1:7" x14ac:dyDescent="0.3">
      <c r="A67" s="27">
        <f t="shared" si="1"/>
        <v>63</v>
      </c>
      <c r="B67" s="13" t="s">
        <v>1341</v>
      </c>
      <c r="C67" s="162" t="s">
        <v>1339</v>
      </c>
      <c r="D67" s="23">
        <v>0</v>
      </c>
      <c r="E67" s="23">
        <v>0</v>
      </c>
      <c r="F67" s="23">
        <f>(Tabla256724[[#This Row],[CANTIDAD REQUERIDA]]-Tabla256724[[#This Row],[CANTIDAD ABASTECIDA]])</f>
        <v>0</v>
      </c>
      <c r="G67" s="54"/>
    </row>
    <row r="68" spans="1:7" x14ac:dyDescent="0.3">
      <c r="A68" s="27">
        <f t="shared" si="1"/>
        <v>64</v>
      </c>
      <c r="B68" s="13" t="s">
        <v>969</v>
      </c>
      <c r="C68" s="162" t="s">
        <v>1249</v>
      </c>
      <c r="D68" s="23">
        <v>0</v>
      </c>
      <c r="E68" s="23">
        <v>0</v>
      </c>
      <c r="F68" s="23">
        <f>(Tabla256724[[#This Row],[CANTIDAD REQUERIDA]]-Tabla256724[[#This Row],[CANTIDAD ABASTECIDA]])</f>
        <v>0</v>
      </c>
      <c r="G68" s="54"/>
    </row>
    <row r="69" spans="1:7" x14ac:dyDescent="0.3">
      <c r="A69" s="27">
        <f t="shared" ref="A69:A77" si="2">ROW(A69)-4</f>
        <v>65</v>
      </c>
      <c r="B69" s="13" t="s">
        <v>970</v>
      </c>
      <c r="C69" s="159" t="s">
        <v>1275</v>
      </c>
      <c r="D69" s="23">
        <v>0</v>
      </c>
      <c r="E69" s="23">
        <v>0</v>
      </c>
      <c r="F69" s="23">
        <f>(Tabla256724[[#This Row],[CANTIDAD REQUERIDA]]-Tabla256724[[#This Row],[CANTIDAD ABASTECIDA]])</f>
        <v>0</v>
      </c>
      <c r="G69" s="54"/>
    </row>
    <row r="70" spans="1:7" x14ac:dyDescent="0.3">
      <c r="A70" s="27">
        <f t="shared" si="2"/>
        <v>66</v>
      </c>
      <c r="B70" s="14" t="s">
        <v>1247</v>
      </c>
      <c r="C70" s="159" t="s">
        <v>1276</v>
      </c>
      <c r="D70" s="23">
        <v>0</v>
      </c>
      <c r="E70" s="23">
        <v>0</v>
      </c>
      <c r="F70" s="23">
        <f>(Tabla256724[[#This Row],[CANTIDAD REQUERIDA]]-Tabla256724[[#This Row],[CANTIDAD ABASTECIDA]])</f>
        <v>0</v>
      </c>
      <c r="G70" s="54"/>
    </row>
    <row r="71" spans="1:7" x14ac:dyDescent="0.3">
      <c r="A71" s="27">
        <f t="shared" si="2"/>
        <v>67</v>
      </c>
      <c r="B71" s="14" t="s">
        <v>1248</v>
      </c>
      <c r="C71" s="159" t="s">
        <v>1277</v>
      </c>
      <c r="D71" s="23">
        <v>0</v>
      </c>
      <c r="E71" s="23">
        <v>0</v>
      </c>
      <c r="F71" s="23">
        <f>(Tabla256724[[#This Row],[CANTIDAD REQUERIDA]]-Tabla256724[[#This Row],[CANTIDAD ABASTECIDA]])</f>
        <v>0</v>
      </c>
      <c r="G71" s="54"/>
    </row>
    <row r="72" spans="1:7" x14ac:dyDescent="0.3">
      <c r="A72" s="27">
        <f t="shared" si="2"/>
        <v>68</v>
      </c>
      <c r="B72" s="14" t="s">
        <v>1255</v>
      </c>
      <c r="C72" s="159" t="s">
        <v>1135</v>
      </c>
      <c r="D72" s="23">
        <v>0</v>
      </c>
      <c r="E72" s="23">
        <v>0</v>
      </c>
      <c r="F72" s="23">
        <f>(Tabla256724[[#This Row],[CANTIDAD REQUERIDA]]-Tabla256724[[#This Row],[CANTIDAD ABASTECIDA]])</f>
        <v>0</v>
      </c>
      <c r="G72" s="54"/>
    </row>
    <row r="73" spans="1:7" x14ac:dyDescent="0.3">
      <c r="A73" s="27">
        <f t="shared" si="2"/>
        <v>69</v>
      </c>
      <c r="B73" s="14" t="s">
        <v>1256</v>
      </c>
      <c r="C73" s="159" t="s">
        <v>1136</v>
      </c>
      <c r="D73" s="23">
        <v>0</v>
      </c>
      <c r="E73" s="23">
        <v>0</v>
      </c>
      <c r="F73" s="23">
        <f>(Tabla256724[[#This Row],[CANTIDAD REQUERIDA]]-Tabla256724[[#This Row],[CANTIDAD ABASTECIDA]])</f>
        <v>0</v>
      </c>
      <c r="G73" s="54"/>
    </row>
    <row r="74" spans="1:7" x14ac:dyDescent="0.3">
      <c r="A74" s="27">
        <f t="shared" si="2"/>
        <v>70</v>
      </c>
      <c r="B74" s="14" t="s">
        <v>1345</v>
      </c>
      <c r="C74" s="162" t="s">
        <v>1346</v>
      </c>
      <c r="D74" s="23">
        <v>0</v>
      </c>
      <c r="E74" s="23">
        <v>0</v>
      </c>
      <c r="F74" s="23">
        <f>(Tabla256724[[#This Row],[CANTIDAD REQUERIDA]]-Tabla256724[[#This Row],[CANTIDAD ABASTECIDA]])</f>
        <v>0</v>
      </c>
      <c r="G74" s="54"/>
    </row>
    <row r="75" spans="1:7" x14ac:dyDescent="0.3">
      <c r="A75" s="27">
        <f t="shared" si="2"/>
        <v>71</v>
      </c>
      <c r="B75" s="14" t="s">
        <v>1257</v>
      </c>
      <c r="C75" s="159" t="s">
        <v>1143</v>
      </c>
      <c r="D75" s="23">
        <v>0</v>
      </c>
      <c r="E75" s="23">
        <v>0</v>
      </c>
      <c r="F75" s="23">
        <f>(Tabla256724[[#This Row],[CANTIDAD REQUERIDA]]-Tabla256724[[#This Row],[CANTIDAD ABASTECIDA]])</f>
        <v>0</v>
      </c>
      <c r="G75" s="54"/>
    </row>
    <row r="76" spans="1:7" x14ac:dyDescent="0.3">
      <c r="A76" s="27">
        <f t="shared" si="2"/>
        <v>72</v>
      </c>
      <c r="B76" s="14" t="s">
        <v>1258</v>
      </c>
      <c r="C76" s="159" t="s">
        <v>1137</v>
      </c>
      <c r="D76" s="23">
        <v>0</v>
      </c>
      <c r="E76" s="23">
        <v>0</v>
      </c>
      <c r="F76" s="23">
        <f>(Tabla256724[[#This Row],[CANTIDAD REQUERIDA]]-Tabla256724[[#This Row],[CANTIDAD ABASTECIDA]])</f>
        <v>0</v>
      </c>
      <c r="G76" s="54"/>
    </row>
    <row r="77" spans="1:7" x14ac:dyDescent="0.3">
      <c r="A77" s="27">
        <f t="shared" si="2"/>
        <v>73</v>
      </c>
      <c r="B77" s="14" t="s">
        <v>1259</v>
      </c>
      <c r="C77" s="159" t="s">
        <v>1138</v>
      </c>
      <c r="D77" s="23">
        <v>0</v>
      </c>
      <c r="E77" s="23">
        <v>0</v>
      </c>
      <c r="F77" s="23">
        <f>(Tabla256724[[#This Row],[CANTIDAD REQUERIDA]]-Tabla256724[[#This Row],[CANTIDAD ABASTECIDA]])</f>
        <v>0</v>
      </c>
      <c r="G77" s="54"/>
    </row>
  </sheetData>
  <mergeCells count="1">
    <mergeCell ref="A2:F2"/>
  </mergeCells>
  <phoneticPr fontId="6" type="noConversion"/>
  <conditionalFormatting sqref="C63:C1048576 C1:C4">
    <cfRule type="duplicateValues" dxfId="14" priority="4"/>
  </conditionalFormatting>
  <conditionalFormatting sqref="B1:B1048576">
    <cfRule type="duplicateValues" dxfId="13" priority="1"/>
  </conditionalFormatting>
  <conditionalFormatting sqref="C5:C77">
    <cfRule type="duplicateValues" dxfId="12" priority="109"/>
  </conditionalFormatting>
  <pageMargins left="0.25" right="0.25" top="0.45" bottom="0.37" header="0.3" footer="0.3"/>
  <pageSetup paperSize="9" scale="8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REGISTRO REQUERIMIENTO</vt:lpstr>
      <vt:lpstr>REGISTRO GUIA</vt:lpstr>
      <vt:lpstr>MATERIALES EN BD</vt:lpstr>
      <vt:lpstr>EQUIPOS EN BD</vt:lpstr>
      <vt:lpstr>EPP EN BD</vt:lpstr>
      <vt:lpstr>UTILES EN BD</vt:lpstr>
      <vt:lpstr>OTROS EN BD</vt:lpstr>
      <vt:lpstr>HERRAMIENTAS EN BD</vt:lpstr>
      <vt:lpstr>'EPP EN BD'!Área_de_impresión</vt:lpstr>
      <vt:lpstr>'EQUIPOS EN BD'!Área_de_impresión</vt:lpstr>
      <vt:lpstr>'HERRAMIENTAS EN BD'!Área_de_impresión</vt:lpstr>
      <vt:lpstr>'OTROS EN BD'!Área_de_impresión</vt:lpstr>
      <vt:lpstr>'UTILES EN BD'!Área_de_impresión</vt:lpstr>
      <vt:lpstr>'MATERIALES EN BD'!Criterios</vt:lpstr>
      <vt:lpstr>'REGISTRO GUIA'!Criterios</vt:lpstr>
      <vt:lpstr>'REGISTRO REQUERIMIENTO'!Criterios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Percy William</dc:creator>
  <cp:lastModifiedBy>PC</cp:lastModifiedBy>
  <cp:lastPrinted>2020-08-19T21:28:35Z</cp:lastPrinted>
  <dcterms:created xsi:type="dcterms:W3CDTF">2020-07-28T17:47:58Z</dcterms:created>
  <dcterms:modified xsi:type="dcterms:W3CDTF">2020-08-31T22:52:03Z</dcterms:modified>
</cp:coreProperties>
</file>